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https://argonmedical-my.sharepoint.com/personal/clifford_long_argonmedical_com/Documents/Documents/Projects and Data Analysis/2022-01-30 Visual inspection method verification (Fleiss Kappa)/data/"/>
    </mc:Choice>
  </mc:AlternateContent>
  <xr:revisionPtr revIDLastSave="20" documentId="8_{46961A7E-BC32-4EFB-891D-8230F4196C8E}" xr6:coauthVersionLast="47" xr6:coauthVersionMax="47" xr10:uidLastSave="{D7E56E11-40AF-4CDC-B581-7A906B5310D4}"/>
  <bookViews>
    <workbookView xWindow="-28920" yWindow="-120" windowWidth="29040" windowHeight="15840" activeTab="3" xr2:uid="{00000000-000D-0000-FFFF-FFFF00000000}"/>
  </bookViews>
  <sheets>
    <sheet name="read me" sheetId="1" r:id="rId1"/>
    <sheet name="reference" sheetId="3" r:id="rId2"/>
    <sheet name="test structure with data" sheetId="2" r:id="rId3"/>
    <sheet name="pivot1 test order" sheetId="4" r:id="rId4"/>
    <sheet name="trial labels" sheetId="7" r:id="rId5"/>
  </sheets>
  <calcPr calcId="191029"/>
  <pivotCaches>
    <pivotCache cacheId="55" r:id="rId6"/>
    <pivotCache cacheId="56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7" i="7" l="1"/>
  <c r="G3" i="7"/>
  <c r="G4" i="7"/>
  <c r="G5" i="7"/>
  <c r="G6" i="7"/>
  <c r="G7" i="7"/>
  <c r="G8" i="7"/>
  <c r="G9" i="7"/>
  <c r="G10" i="7"/>
  <c r="G11" i="7"/>
  <c r="G12" i="7"/>
  <c r="G13" i="7"/>
  <c r="G14" i="7"/>
  <c r="G15" i="7"/>
  <c r="G16" i="7"/>
  <c r="G2" i="7"/>
  <c r="D3" i="7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2" i="7"/>
  <c r="F3" i="7"/>
  <c r="F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2" i="7"/>
  <c r="C3" i="7"/>
  <c r="C4" i="7"/>
  <c r="C5" i="7"/>
  <c r="C6" i="7"/>
  <c r="C7" i="7"/>
  <c r="C8" i="7"/>
  <c r="C9" i="7"/>
  <c r="C10" i="7"/>
  <c r="C11" i="7"/>
  <c r="C12" i="7"/>
  <c r="C13" i="7"/>
  <c r="C14" i="7"/>
  <c r="C15" i="7"/>
  <c r="C16" i="7"/>
  <c r="C17" i="7"/>
  <c r="C2" i="7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" i="2"/>
  <c r="I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N16" i="4"/>
  <c r="N17" i="4"/>
  <c r="N18" i="4"/>
  <c r="N15" i="4"/>
  <c r="N6" i="4"/>
  <c r="N7" i="4"/>
  <c r="N8" i="4"/>
  <c r="N9" i="4"/>
  <c r="N10" i="4"/>
  <c r="N5" i="4"/>
  <c r="L18" i="4"/>
  <c r="L17" i="4"/>
  <c r="L16" i="4"/>
  <c r="L15" i="4"/>
  <c r="L10" i="4"/>
  <c r="L9" i="4"/>
  <c r="L8" i="4"/>
  <c r="L7" i="4"/>
  <c r="L6" i="4"/>
  <c r="L5" i="4"/>
</calcChain>
</file>

<file path=xl/sharedStrings.xml><?xml version="1.0" encoding="utf-8"?>
<sst xmlns="http://schemas.openxmlformats.org/spreadsheetml/2006/main" count="2230" uniqueCount="118">
  <si>
    <t>inspector</t>
  </si>
  <si>
    <t>group</t>
  </si>
  <si>
    <t>op1</t>
  </si>
  <si>
    <t>op2</t>
  </si>
  <si>
    <t>shift</t>
  </si>
  <si>
    <t>s1</t>
  </si>
  <si>
    <t>s2</t>
  </si>
  <si>
    <t>qc</t>
  </si>
  <si>
    <t>ops</t>
  </si>
  <si>
    <t>op3</t>
  </si>
  <si>
    <t>op4</t>
  </si>
  <si>
    <t>op5</t>
  </si>
  <si>
    <t>specimen</t>
  </si>
  <si>
    <t>true state</t>
  </si>
  <si>
    <t>shift_1</t>
  </si>
  <si>
    <t>shift_2</t>
  </si>
  <si>
    <t>nonconform</t>
  </si>
  <si>
    <t>conform</t>
  </si>
  <si>
    <t>A-01</t>
  </si>
  <si>
    <t>A-02</t>
  </si>
  <si>
    <t>A-03</t>
  </si>
  <si>
    <t>A-04</t>
  </si>
  <si>
    <t>A-05</t>
  </si>
  <si>
    <t>A-06</t>
  </si>
  <si>
    <t>A-07</t>
  </si>
  <si>
    <t>A-08</t>
  </si>
  <si>
    <t>A-09</t>
  </si>
  <si>
    <t>A-10</t>
  </si>
  <si>
    <t>A-11</t>
  </si>
  <si>
    <t>A-12</t>
  </si>
  <si>
    <t>A-13</t>
  </si>
  <si>
    <t>A-14</t>
  </si>
  <si>
    <t>A-15</t>
  </si>
  <si>
    <t>A-16</t>
  </si>
  <si>
    <t>Count of specimen</t>
  </si>
  <si>
    <t>Row Labels</t>
  </si>
  <si>
    <t>Grand Total</t>
  </si>
  <si>
    <t>block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</si>
  <si>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</si>
  <si>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</si>
  <si>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</si>
  <si>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</si>
  <si>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</si>
  <si>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</si>
  <si>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</si>
  <si>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</si>
  <si>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</si>
  <si>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</si>
  <si>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trial</t>
  </si>
  <si>
    <t>trial_1</t>
  </si>
  <si>
    <t>trial_2</t>
  </si>
  <si>
    <t>trial_3</t>
  </si>
  <si>
    <t>Total</t>
  </si>
  <si>
    <t>one</t>
  </si>
  <si>
    <t>rand_order</t>
  </si>
  <si>
    <t>rand_order_static</t>
  </si>
  <si>
    <t>rank_order</t>
  </si>
  <si>
    <t>trial_1 Total</t>
  </si>
  <si>
    <t>trial_2 Total</t>
  </si>
  <si>
    <t>trial_3 Total</t>
  </si>
  <si>
    <t>trial 2 label</t>
  </si>
  <si>
    <t>trial 3 label</t>
  </si>
  <si>
    <t>trial label</t>
  </si>
  <si>
    <t>trial result</t>
  </si>
  <si>
    <t>trial 2 rand rank</t>
  </si>
  <si>
    <t>trial 3 rand rank</t>
  </si>
  <si>
    <t>trial 2 rand</t>
  </si>
  <si>
    <t>trial 3 rand</t>
  </si>
  <si>
    <t>B-12</t>
  </si>
  <si>
    <t>B-06</t>
  </si>
  <si>
    <t>B-02</t>
  </si>
  <si>
    <t>B-05</t>
  </si>
  <si>
    <t>B-04</t>
  </si>
  <si>
    <t>B-03</t>
  </si>
  <si>
    <t>B-13</t>
  </si>
  <si>
    <t>B-11</t>
  </si>
  <si>
    <t>B-10</t>
  </si>
  <si>
    <t>B-07</t>
  </si>
  <si>
    <t>B-14</t>
  </si>
  <si>
    <t>B-08</t>
  </si>
  <si>
    <t>B-16</t>
  </si>
  <si>
    <t>B-09</t>
  </si>
  <si>
    <t>B-15</t>
  </si>
  <si>
    <t>B-01</t>
  </si>
  <si>
    <t>C-01</t>
  </si>
  <si>
    <t>C-16</t>
  </si>
  <si>
    <t>C-06</t>
  </si>
  <si>
    <t>C-14</t>
  </si>
  <si>
    <t>C-09</t>
  </si>
  <si>
    <t>C-15</t>
  </si>
  <si>
    <t>C-11</t>
  </si>
  <si>
    <t>C-05</t>
  </si>
  <si>
    <t>C-10</t>
  </si>
  <si>
    <t>C-13</t>
  </si>
  <si>
    <t>C-02</t>
  </si>
  <si>
    <t>C-12</t>
  </si>
  <si>
    <t>C-03</t>
  </si>
  <si>
    <t>C-08</t>
  </si>
  <si>
    <t>C-07</t>
  </si>
  <si>
    <t>C-04</t>
  </si>
  <si>
    <t>block_01</t>
  </si>
  <si>
    <t>block_02</t>
  </si>
  <si>
    <t>block_03</t>
  </si>
  <si>
    <t>block_04</t>
  </si>
  <si>
    <t>block_05</t>
  </si>
  <si>
    <t>block_06</t>
  </si>
  <si>
    <t>block_07</t>
  </si>
  <si>
    <t>block_08</t>
  </si>
  <si>
    <t>block_09</t>
  </si>
  <si>
    <t>block_10</t>
  </si>
  <si>
    <t>order applies within each shift</t>
  </si>
  <si>
    <t>trial 1 label</t>
  </si>
  <si>
    <t>name</t>
  </si>
  <si>
    <t>Jyoti Patel</t>
  </si>
  <si>
    <t>Hirem Tailor</t>
  </si>
  <si>
    <t>Trieu Nguyen</t>
  </si>
  <si>
    <t>Niranjan Patel</t>
  </si>
  <si>
    <t>Roldie Ladio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</si>
</sst>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6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5" tint="-0.249977111117893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2" borderId="0" xfId="0" applyFill="1"/>
    <xf numFmtId="164" fontId="0" fillId="2" borderId="0" xfId="0" applyNumberFormat="1" applyFill="1" applyAlignment="1">
      <alignment horizontal="center"/>
    </xf>
    <xf numFmtId="0" fontId="0" fillId="2" borderId="0" xfId="0" applyFill="1" applyAlignment="1">
      <alignment horizontal="center"/>
    </xf>
    <xf numFmtId="164" fontId="0" fillId="0" borderId="0" xfId="0" applyNumberFormat="1" applyAlignment="1">
      <alignment horizontal="center"/>
    </xf>
    <xf numFmtId="0" fontId="0" fillId="3" borderId="0" xfId="0" applyFill="1"/>
    <xf numFmtId="0" fontId="0" fillId="3" borderId="0" xfId="0" applyFill="1" applyAlignment="1">
      <alignment horizontal="center"/>
    </xf>
    <xf numFmtId="0" fontId="5" fillId="0" borderId="0" xfId="0" applyFont="1"/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2" fillId="0" borderId="5" xfId="0" applyFont="1" applyBorder="1" applyAlignment="1">
      <alignment horizontal="center" vertical="center" textRotation="90"/>
    </xf>
  </cellXfs>
  <cellStyles count="1">
    <cellStyle name="Normal" xfId="0" builtinId="0"/>
  </cellStyles>
  <dxfs count="6"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209551</xdr:colOff>
      <xdr:row>1</xdr:row>
      <xdr:rowOff>161925</xdr:rowOff>
    </xdr:from>
    <xdr:to>
      <xdr:col>6</xdr:col>
      <xdr:colOff>57151</xdr:colOff>
      <xdr:row>23</xdr:row>
      <xdr:rowOff>9525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CD3809C-1A95-4569-891A-ED0603E74237}"/>
            </a:ext>
          </a:extLst>
        </xdr:cNvPr>
        <xdr:cNvSpPr txBox="1"/>
      </xdr:nvSpPr>
      <xdr:spPr>
        <a:xfrm>
          <a:off x="819151" y="352425"/>
          <a:ext cx="2895600" cy="4038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2022-02-02</a:t>
          </a:r>
        </a:p>
        <a:p>
          <a:r>
            <a:rPr lang="en-US" sz="1100"/>
            <a:t>Supercore</a:t>
          </a:r>
        </a:p>
        <a:p>
          <a:endParaRPr lang="en-US" sz="1100"/>
        </a:p>
        <a:p>
          <a:r>
            <a:rPr lang="en-US" sz="1100"/>
            <a:t>Visual</a:t>
          </a:r>
          <a:r>
            <a:rPr lang="en-US" sz="1100" baseline="0"/>
            <a:t> inspection method using 10x magnifier for seated tabs in case</a:t>
          </a:r>
          <a:endParaRPr lang="en-US" sz="11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emant Kumar Tailor" refreshedDate="44595.660569444444" createdVersion="7" refreshedVersion="7" minRefreshableVersion="3" recordCount="16" xr:uid="{E6DD1647-9E26-4DD4-947D-E53506036684}">
  <cacheSource type="worksheet">
    <worksheetSource ref="G1:H17" sheet="reference"/>
  </cacheSource>
  <cacheFields count="2">
    <cacheField name="specimen" numFmtId="0">
      <sharedItems/>
    </cacheField>
    <cacheField name="true state" numFmtId="0">
      <sharedItems count="2">
        <s v="conform"/>
        <s v="nonconform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emant Kumar Tailor" refreshedDate="44595.660569560183" createdVersion="7" refreshedVersion="7" minRefreshableVersion="3" recordCount="240" xr:uid="{988716FF-6EC3-4051-BD92-DC55C95C225F}">
  <cacheSource type="worksheet">
    <worksheetSource name="Table1"/>
  </cacheSource>
  <cacheFields count="9">
    <cacheField name="inspector" numFmtId="0">
      <sharedItems count="5">
        <s v="op1"/>
        <s v="op2"/>
        <s v="op3"/>
        <s v="op4"/>
        <s v="op5"/>
      </sharedItems>
    </cacheField>
    <cacheField name="group" numFmtId="0">
      <sharedItems count="2">
        <s v="qc"/>
        <s v="ops"/>
      </sharedItems>
    </cacheField>
    <cacheField name="shift" numFmtId="0">
      <sharedItems count="2">
        <s v="s1"/>
        <s v="s2"/>
      </sharedItems>
    </cacheField>
    <cacheField name="specimen" numFmtId="0">
      <sharedItems/>
    </cacheField>
    <cacheField name="true state" numFmtId="0">
      <sharedItems/>
    </cacheField>
    <cacheField name="block" numFmtId="0">
      <sharedItems count="10">
        <s v="b01"/>
        <s v="b02"/>
        <s v="b03"/>
        <s v="b04"/>
        <s v="b05"/>
        <s v="b06"/>
        <s v="b07"/>
        <s v="b08"/>
        <s v="b09"/>
        <s v="b10"/>
      </sharedItems>
    </cacheField>
    <cacheField name="trial" numFmtId="0">
      <sharedItems count="3">
        <s v="trial_1"/>
        <s v="trial_2"/>
        <s v="trial_3"/>
      </sharedItems>
    </cacheField>
    <cacheField name="one" numFmtId="0">
      <sharedItems containsSemiMixedTypes="0" containsString="0" containsNumber="1" containsInteger="1" minValue="1" maxValue="1"/>
    </cacheField>
    <cacheField name="rank_order" numFmtId="0">
      <sharedItems containsSemiMixedTypes="0" containsString="0" containsNumber="1" containsInteger="1" minValue="1" maxValue="6" count="6">
        <n v="4"/>
        <n v="1"/>
        <n v="3"/>
        <n v="2"/>
        <n v="5"/>
        <n v="6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s v="A-01"/>
    <x v="0"/>
  </r>
  <r>
    <s v="A-02"/>
    <x v="1"/>
  </r>
  <r>
    <s v="A-03"/>
    <x v="0"/>
  </r>
  <r>
    <s v="A-04"/>
    <x v="1"/>
  </r>
  <r>
    <s v="A-05"/>
    <x v="0"/>
  </r>
  <r>
    <s v="A-06"/>
    <x v="1"/>
  </r>
  <r>
    <s v="A-07"/>
    <x v="1"/>
  </r>
  <r>
    <s v="A-08"/>
    <x v="1"/>
  </r>
  <r>
    <s v="A-09"/>
    <x v="0"/>
  </r>
  <r>
    <s v="A-10"/>
    <x v="1"/>
  </r>
  <r>
    <s v="A-11"/>
    <x v="1"/>
  </r>
  <r>
    <s v="A-12"/>
    <x v="0"/>
  </r>
  <r>
    <s v="A-13"/>
    <x v="1"/>
  </r>
  <r>
    <s v="A-14"/>
    <x v="0"/>
  </r>
  <r>
    <s v="A-15"/>
    <x v="1"/>
  </r>
  <r>
    <s v="A-16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0">
  <r>
    <x v="0"/>
    <x v="0"/>
    <x v="0"/>
    <s v="A-01"/>
    <s v="nonconform"/>
    <x v="0"/>
    <x v="0"/>
    <n v="1"/>
    <x v="0"/>
  </r>
  <r>
    <x v="0"/>
    <x v="0"/>
    <x v="0"/>
    <s v="A-02"/>
    <s v="conform"/>
    <x v="0"/>
    <x v="0"/>
    <n v="1"/>
    <x v="0"/>
  </r>
  <r>
    <x v="0"/>
    <x v="0"/>
    <x v="0"/>
    <s v="A-03"/>
    <s v="nonconform"/>
    <x v="0"/>
    <x v="0"/>
    <n v="1"/>
    <x v="0"/>
  </r>
  <r>
    <x v="0"/>
    <x v="0"/>
    <x v="0"/>
    <s v="A-04"/>
    <s v="nonconform"/>
    <x v="0"/>
    <x v="0"/>
    <n v="1"/>
    <x v="0"/>
  </r>
  <r>
    <x v="0"/>
    <x v="0"/>
    <x v="0"/>
    <s v="A-05"/>
    <s v="conform"/>
    <x v="0"/>
    <x v="0"/>
    <n v="1"/>
    <x v="0"/>
  </r>
  <r>
    <x v="0"/>
    <x v="0"/>
    <x v="0"/>
    <s v="A-06"/>
    <s v="nonconform"/>
    <x v="0"/>
    <x v="0"/>
    <n v="1"/>
    <x v="0"/>
  </r>
  <r>
    <x v="0"/>
    <x v="0"/>
    <x v="0"/>
    <s v="A-07"/>
    <s v="nonconform"/>
    <x v="0"/>
    <x v="0"/>
    <n v="1"/>
    <x v="0"/>
  </r>
  <r>
    <x v="0"/>
    <x v="0"/>
    <x v="0"/>
    <s v="A-08"/>
    <s v="conform"/>
    <x v="0"/>
    <x v="0"/>
    <n v="1"/>
    <x v="0"/>
  </r>
  <r>
    <x v="0"/>
    <x v="0"/>
    <x v="0"/>
    <s v="A-09"/>
    <s v="nonconform"/>
    <x v="1"/>
    <x v="0"/>
    <n v="1"/>
    <x v="1"/>
  </r>
  <r>
    <x v="0"/>
    <x v="0"/>
    <x v="0"/>
    <s v="A-10"/>
    <s v="conform"/>
    <x v="1"/>
    <x v="0"/>
    <n v="1"/>
    <x v="1"/>
  </r>
  <r>
    <x v="0"/>
    <x v="0"/>
    <x v="0"/>
    <s v="A-11"/>
    <s v="conform"/>
    <x v="1"/>
    <x v="0"/>
    <n v="1"/>
    <x v="1"/>
  </r>
  <r>
    <x v="0"/>
    <x v="0"/>
    <x v="0"/>
    <s v="A-12"/>
    <s v="conform"/>
    <x v="1"/>
    <x v="0"/>
    <n v="1"/>
    <x v="1"/>
  </r>
  <r>
    <x v="0"/>
    <x v="0"/>
    <x v="0"/>
    <s v="A-13"/>
    <s v="nonconform"/>
    <x v="1"/>
    <x v="0"/>
    <n v="1"/>
    <x v="1"/>
  </r>
  <r>
    <x v="0"/>
    <x v="0"/>
    <x v="0"/>
    <s v="A-14"/>
    <s v="conform"/>
    <x v="1"/>
    <x v="0"/>
    <n v="1"/>
    <x v="1"/>
  </r>
  <r>
    <x v="0"/>
    <x v="0"/>
    <x v="0"/>
    <s v="A-15"/>
    <s v="nonconform"/>
    <x v="1"/>
    <x v="0"/>
    <n v="1"/>
    <x v="1"/>
  </r>
  <r>
    <x v="0"/>
    <x v="0"/>
    <x v="0"/>
    <s v="A-16"/>
    <s v="nonconform"/>
    <x v="1"/>
    <x v="0"/>
    <n v="1"/>
    <x v="1"/>
  </r>
  <r>
    <x v="1"/>
    <x v="0"/>
    <x v="1"/>
    <s v="A-01"/>
    <s v="nonconform"/>
    <x v="2"/>
    <x v="0"/>
    <n v="1"/>
    <x v="2"/>
  </r>
  <r>
    <x v="1"/>
    <x v="0"/>
    <x v="1"/>
    <s v="A-02"/>
    <s v="conform"/>
    <x v="2"/>
    <x v="0"/>
    <n v="1"/>
    <x v="2"/>
  </r>
  <r>
    <x v="1"/>
    <x v="0"/>
    <x v="1"/>
    <s v="A-03"/>
    <s v="nonconform"/>
    <x v="2"/>
    <x v="0"/>
    <n v="1"/>
    <x v="2"/>
  </r>
  <r>
    <x v="1"/>
    <x v="0"/>
    <x v="1"/>
    <s v="A-04"/>
    <s v="nonconform"/>
    <x v="2"/>
    <x v="0"/>
    <n v="1"/>
    <x v="2"/>
  </r>
  <r>
    <x v="1"/>
    <x v="0"/>
    <x v="1"/>
    <s v="A-05"/>
    <s v="conform"/>
    <x v="2"/>
    <x v="0"/>
    <n v="1"/>
    <x v="2"/>
  </r>
  <r>
    <x v="1"/>
    <x v="0"/>
    <x v="1"/>
    <s v="A-06"/>
    <s v="nonconform"/>
    <x v="2"/>
    <x v="0"/>
    <n v="1"/>
    <x v="2"/>
  </r>
  <r>
    <x v="1"/>
    <x v="0"/>
    <x v="1"/>
    <s v="A-07"/>
    <s v="nonconform"/>
    <x v="2"/>
    <x v="0"/>
    <n v="1"/>
    <x v="2"/>
  </r>
  <r>
    <x v="1"/>
    <x v="0"/>
    <x v="1"/>
    <s v="A-08"/>
    <s v="conform"/>
    <x v="2"/>
    <x v="0"/>
    <n v="1"/>
    <x v="2"/>
  </r>
  <r>
    <x v="1"/>
    <x v="0"/>
    <x v="1"/>
    <s v="A-09"/>
    <s v="nonconform"/>
    <x v="3"/>
    <x v="0"/>
    <n v="1"/>
    <x v="3"/>
  </r>
  <r>
    <x v="1"/>
    <x v="0"/>
    <x v="1"/>
    <s v="A-10"/>
    <s v="conform"/>
    <x v="3"/>
    <x v="0"/>
    <n v="1"/>
    <x v="3"/>
  </r>
  <r>
    <x v="1"/>
    <x v="0"/>
    <x v="1"/>
    <s v="A-11"/>
    <s v="conform"/>
    <x v="3"/>
    <x v="0"/>
    <n v="1"/>
    <x v="3"/>
  </r>
  <r>
    <x v="1"/>
    <x v="0"/>
    <x v="1"/>
    <s v="A-12"/>
    <s v="conform"/>
    <x v="3"/>
    <x v="0"/>
    <n v="1"/>
    <x v="3"/>
  </r>
  <r>
    <x v="1"/>
    <x v="0"/>
    <x v="1"/>
    <s v="A-13"/>
    <s v="nonconform"/>
    <x v="3"/>
    <x v="0"/>
    <n v="1"/>
    <x v="3"/>
  </r>
  <r>
    <x v="1"/>
    <x v="0"/>
    <x v="1"/>
    <s v="A-14"/>
    <s v="conform"/>
    <x v="3"/>
    <x v="0"/>
    <n v="1"/>
    <x v="3"/>
  </r>
  <r>
    <x v="1"/>
    <x v="0"/>
    <x v="1"/>
    <s v="A-15"/>
    <s v="nonconform"/>
    <x v="3"/>
    <x v="0"/>
    <n v="1"/>
    <x v="3"/>
  </r>
  <r>
    <x v="1"/>
    <x v="0"/>
    <x v="1"/>
    <s v="A-16"/>
    <s v="nonconform"/>
    <x v="3"/>
    <x v="0"/>
    <n v="1"/>
    <x v="3"/>
  </r>
  <r>
    <x v="2"/>
    <x v="1"/>
    <x v="0"/>
    <s v="A-01"/>
    <s v="nonconform"/>
    <x v="4"/>
    <x v="0"/>
    <n v="1"/>
    <x v="4"/>
  </r>
  <r>
    <x v="2"/>
    <x v="1"/>
    <x v="0"/>
    <s v="A-02"/>
    <s v="conform"/>
    <x v="4"/>
    <x v="0"/>
    <n v="1"/>
    <x v="4"/>
  </r>
  <r>
    <x v="2"/>
    <x v="1"/>
    <x v="0"/>
    <s v="A-03"/>
    <s v="nonconform"/>
    <x v="4"/>
    <x v="0"/>
    <n v="1"/>
    <x v="4"/>
  </r>
  <r>
    <x v="2"/>
    <x v="1"/>
    <x v="0"/>
    <s v="A-04"/>
    <s v="nonconform"/>
    <x v="4"/>
    <x v="0"/>
    <n v="1"/>
    <x v="4"/>
  </r>
  <r>
    <x v="2"/>
    <x v="1"/>
    <x v="0"/>
    <s v="A-05"/>
    <s v="conform"/>
    <x v="4"/>
    <x v="0"/>
    <n v="1"/>
    <x v="4"/>
  </r>
  <r>
    <x v="2"/>
    <x v="1"/>
    <x v="0"/>
    <s v="A-06"/>
    <s v="nonconform"/>
    <x v="4"/>
    <x v="0"/>
    <n v="1"/>
    <x v="4"/>
  </r>
  <r>
    <x v="2"/>
    <x v="1"/>
    <x v="0"/>
    <s v="A-07"/>
    <s v="nonconform"/>
    <x v="4"/>
    <x v="0"/>
    <n v="1"/>
    <x v="4"/>
  </r>
  <r>
    <x v="2"/>
    <x v="1"/>
    <x v="0"/>
    <s v="A-08"/>
    <s v="conform"/>
    <x v="4"/>
    <x v="0"/>
    <n v="1"/>
    <x v="4"/>
  </r>
  <r>
    <x v="2"/>
    <x v="1"/>
    <x v="0"/>
    <s v="A-09"/>
    <s v="nonconform"/>
    <x v="5"/>
    <x v="0"/>
    <n v="1"/>
    <x v="3"/>
  </r>
  <r>
    <x v="2"/>
    <x v="1"/>
    <x v="0"/>
    <s v="A-10"/>
    <s v="conform"/>
    <x v="5"/>
    <x v="0"/>
    <n v="1"/>
    <x v="3"/>
  </r>
  <r>
    <x v="2"/>
    <x v="1"/>
    <x v="0"/>
    <s v="A-11"/>
    <s v="conform"/>
    <x v="5"/>
    <x v="0"/>
    <n v="1"/>
    <x v="3"/>
  </r>
  <r>
    <x v="2"/>
    <x v="1"/>
    <x v="0"/>
    <s v="A-12"/>
    <s v="conform"/>
    <x v="5"/>
    <x v="0"/>
    <n v="1"/>
    <x v="3"/>
  </r>
  <r>
    <x v="2"/>
    <x v="1"/>
    <x v="0"/>
    <s v="A-13"/>
    <s v="nonconform"/>
    <x v="5"/>
    <x v="0"/>
    <n v="1"/>
    <x v="3"/>
  </r>
  <r>
    <x v="2"/>
    <x v="1"/>
    <x v="0"/>
    <s v="A-14"/>
    <s v="conform"/>
    <x v="5"/>
    <x v="0"/>
    <n v="1"/>
    <x v="3"/>
  </r>
  <r>
    <x v="2"/>
    <x v="1"/>
    <x v="0"/>
    <s v="A-15"/>
    <s v="nonconform"/>
    <x v="5"/>
    <x v="0"/>
    <n v="1"/>
    <x v="3"/>
  </r>
  <r>
    <x v="2"/>
    <x v="1"/>
    <x v="0"/>
    <s v="A-16"/>
    <s v="nonconform"/>
    <x v="5"/>
    <x v="0"/>
    <n v="1"/>
    <x v="3"/>
  </r>
  <r>
    <x v="3"/>
    <x v="1"/>
    <x v="0"/>
    <s v="A-01"/>
    <s v="nonconform"/>
    <x v="6"/>
    <x v="0"/>
    <n v="1"/>
    <x v="5"/>
  </r>
  <r>
    <x v="3"/>
    <x v="1"/>
    <x v="0"/>
    <s v="A-02"/>
    <s v="conform"/>
    <x v="6"/>
    <x v="0"/>
    <n v="1"/>
    <x v="5"/>
  </r>
  <r>
    <x v="3"/>
    <x v="1"/>
    <x v="0"/>
    <s v="A-03"/>
    <s v="nonconform"/>
    <x v="6"/>
    <x v="0"/>
    <n v="1"/>
    <x v="5"/>
  </r>
  <r>
    <x v="3"/>
    <x v="1"/>
    <x v="0"/>
    <s v="A-04"/>
    <s v="nonconform"/>
    <x v="6"/>
    <x v="0"/>
    <n v="1"/>
    <x v="5"/>
  </r>
  <r>
    <x v="3"/>
    <x v="1"/>
    <x v="0"/>
    <s v="A-05"/>
    <s v="conform"/>
    <x v="6"/>
    <x v="0"/>
    <n v="1"/>
    <x v="5"/>
  </r>
  <r>
    <x v="3"/>
    <x v="1"/>
    <x v="0"/>
    <s v="A-06"/>
    <s v="nonconform"/>
    <x v="6"/>
    <x v="0"/>
    <n v="1"/>
    <x v="5"/>
  </r>
  <r>
    <x v="3"/>
    <x v="1"/>
    <x v="0"/>
    <s v="A-07"/>
    <s v="nonconform"/>
    <x v="6"/>
    <x v="0"/>
    <n v="1"/>
    <x v="5"/>
  </r>
  <r>
    <x v="3"/>
    <x v="1"/>
    <x v="0"/>
    <s v="A-08"/>
    <s v="conform"/>
    <x v="6"/>
    <x v="0"/>
    <n v="1"/>
    <x v="5"/>
  </r>
  <r>
    <x v="3"/>
    <x v="1"/>
    <x v="0"/>
    <s v="A-09"/>
    <s v="nonconform"/>
    <x v="7"/>
    <x v="0"/>
    <n v="1"/>
    <x v="2"/>
  </r>
  <r>
    <x v="3"/>
    <x v="1"/>
    <x v="0"/>
    <s v="A-10"/>
    <s v="conform"/>
    <x v="7"/>
    <x v="0"/>
    <n v="1"/>
    <x v="2"/>
  </r>
  <r>
    <x v="3"/>
    <x v="1"/>
    <x v="0"/>
    <s v="A-11"/>
    <s v="conform"/>
    <x v="7"/>
    <x v="0"/>
    <n v="1"/>
    <x v="2"/>
  </r>
  <r>
    <x v="3"/>
    <x v="1"/>
    <x v="0"/>
    <s v="A-12"/>
    <s v="conform"/>
    <x v="7"/>
    <x v="0"/>
    <n v="1"/>
    <x v="2"/>
  </r>
  <r>
    <x v="3"/>
    <x v="1"/>
    <x v="0"/>
    <s v="A-13"/>
    <s v="nonconform"/>
    <x v="7"/>
    <x v="0"/>
    <n v="1"/>
    <x v="2"/>
  </r>
  <r>
    <x v="3"/>
    <x v="1"/>
    <x v="0"/>
    <s v="A-14"/>
    <s v="conform"/>
    <x v="7"/>
    <x v="0"/>
    <n v="1"/>
    <x v="2"/>
  </r>
  <r>
    <x v="3"/>
    <x v="1"/>
    <x v="0"/>
    <s v="A-15"/>
    <s v="nonconform"/>
    <x v="7"/>
    <x v="0"/>
    <n v="1"/>
    <x v="2"/>
  </r>
  <r>
    <x v="3"/>
    <x v="1"/>
    <x v="0"/>
    <s v="A-16"/>
    <s v="nonconform"/>
    <x v="7"/>
    <x v="0"/>
    <n v="1"/>
    <x v="2"/>
  </r>
  <r>
    <x v="4"/>
    <x v="1"/>
    <x v="1"/>
    <s v="A-01"/>
    <s v="nonconform"/>
    <x v="8"/>
    <x v="0"/>
    <n v="1"/>
    <x v="0"/>
  </r>
  <r>
    <x v="4"/>
    <x v="1"/>
    <x v="1"/>
    <s v="A-02"/>
    <s v="conform"/>
    <x v="8"/>
    <x v="0"/>
    <n v="1"/>
    <x v="0"/>
  </r>
  <r>
    <x v="4"/>
    <x v="1"/>
    <x v="1"/>
    <s v="A-03"/>
    <s v="nonconform"/>
    <x v="8"/>
    <x v="0"/>
    <n v="1"/>
    <x v="0"/>
  </r>
  <r>
    <x v="4"/>
    <x v="1"/>
    <x v="1"/>
    <s v="A-04"/>
    <s v="nonconform"/>
    <x v="8"/>
    <x v="0"/>
    <n v="1"/>
    <x v="0"/>
  </r>
  <r>
    <x v="4"/>
    <x v="1"/>
    <x v="1"/>
    <s v="A-05"/>
    <s v="conform"/>
    <x v="8"/>
    <x v="0"/>
    <n v="1"/>
    <x v="0"/>
  </r>
  <r>
    <x v="4"/>
    <x v="1"/>
    <x v="1"/>
    <s v="A-06"/>
    <s v="nonconform"/>
    <x v="8"/>
    <x v="0"/>
    <n v="1"/>
    <x v="0"/>
  </r>
  <r>
    <x v="4"/>
    <x v="1"/>
    <x v="1"/>
    <s v="A-07"/>
    <s v="nonconform"/>
    <x v="8"/>
    <x v="0"/>
    <n v="1"/>
    <x v="0"/>
  </r>
  <r>
    <x v="4"/>
    <x v="1"/>
    <x v="1"/>
    <s v="A-08"/>
    <s v="conform"/>
    <x v="8"/>
    <x v="0"/>
    <n v="1"/>
    <x v="0"/>
  </r>
  <r>
    <x v="4"/>
    <x v="1"/>
    <x v="1"/>
    <s v="A-09"/>
    <s v="nonconform"/>
    <x v="9"/>
    <x v="0"/>
    <n v="1"/>
    <x v="1"/>
  </r>
  <r>
    <x v="4"/>
    <x v="1"/>
    <x v="1"/>
    <s v="A-10"/>
    <s v="conform"/>
    <x v="9"/>
    <x v="0"/>
    <n v="1"/>
    <x v="1"/>
  </r>
  <r>
    <x v="4"/>
    <x v="1"/>
    <x v="1"/>
    <s v="A-11"/>
    <s v="conform"/>
    <x v="9"/>
    <x v="0"/>
    <n v="1"/>
    <x v="1"/>
  </r>
  <r>
    <x v="4"/>
    <x v="1"/>
    <x v="1"/>
    <s v="A-12"/>
    <s v="conform"/>
    <x v="9"/>
    <x v="0"/>
    <n v="1"/>
    <x v="1"/>
  </r>
  <r>
    <x v="4"/>
    <x v="1"/>
    <x v="1"/>
    <s v="A-13"/>
    <s v="nonconform"/>
    <x v="9"/>
    <x v="0"/>
    <n v="1"/>
    <x v="1"/>
  </r>
  <r>
    <x v="4"/>
    <x v="1"/>
    <x v="1"/>
    <s v="A-14"/>
    <s v="conform"/>
    <x v="9"/>
    <x v="0"/>
    <n v="1"/>
    <x v="1"/>
  </r>
  <r>
    <x v="4"/>
    <x v="1"/>
    <x v="1"/>
    <s v="A-15"/>
    <s v="nonconform"/>
    <x v="9"/>
    <x v="0"/>
    <n v="1"/>
    <x v="1"/>
  </r>
  <r>
    <x v="4"/>
    <x v="1"/>
    <x v="1"/>
    <s v="A-16"/>
    <s v="nonconform"/>
    <x v="9"/>
    <x v="0"/>
    <n v="1"/>
    <x v="1"/>
  </r>
  <r>
    <x v="0"/>
    <x v="0"/>
    <x v="0"/>
    <s v="A-01"/>
    <s v="nonconform"/>
    <x v="0"/>
    <x v="1"/>
    <n v="1"/>
    <x v="0"/>
  </r>
  <r>
    <x v="0"/>
    <x v="0"/>
    <x v="0"/>
    <s v="A-02"/>
    <s v="conform"/>
    <x v="0"/>
    <x v="1"/>
    <n v="1"/>
    <x v="0"/>
  </r>
  <r>
    <x v="0"/>
    <x v="0"/>
    <x v="0"/>
    <s v="A-03"/>
    <s v="nonconform"/>
    <x v="0"/>
    <x v="1"/>
    <n v="1"/>
    <x v="0"/>
  </r>
  <r>
    <x v="0"/>
    <x v="0"/>
    <x v="0"/>
    <s v="A-04"/>
    <s v="nonconform"/>
    <x v="0"/>
    <x v="1"/>
    <n v="1"/>
    <x v="0"/>
  </r>
  <r>
    <x v="0"/>
    <x v="0"/>
    <x v="0"/>
    <s v="A-05"/>
    <s v="conform"/>
    <x v="0"/>
    <x v="1"/>
    <n v="1"/>
    <x v="0"/>
  </r>
  <r>
    <x v="0"/>
    <x v="0"/>
    <x v="0"/>
    <s v="A-06"/>
    <s v="nonconform"/>
    <x v="0"/>
    <x v="1"/>
    <n v="1"/>
    <x v="0"/>
  </r>
  <r>
    <x v="0"/>
    <x v="0"/>
    <x v="0"/>
    <s v="A-07"/>
    <s v="nonconform"/>
    <x v="0"/>
    <x v="1"/>
    <n v="1"/>
    <x v="0"/>
  </r>
  <r>
    <x v="0"/>
    <x v="0"/>
    <x v="0"/>
    <s v="A-08"/>
    <s v="conform"/>
    <x v="0"/>
    <x v="1"/>
    <n v="1"/>
    <x v="0"/>
  </r>
  <r>
    <x v="0"/>
    <x v="0"/>
    <x v="0"/>
    <s v="A-09"/>
    <s v="nonconform"/>
    <x v="1"/>
    <x v="1"/>
    <n v="1"/>
    <x v="1"/>
  </r>
  <r>
    <x v="0"/>
    <x v="0"/>
    <x v="0"/>
    <s v="A-10"/>
    <s v="conform"/>
    <x v="1"/>
    <x v="1"/>
    <n v="1"/>
    <x v="1"/>
  </r>
  <r>
    <x v="0"/>
    <x v="0"/>
    <x v="0"/>
    <s v="A-11"/>
    <s v="conform"/>
    <x v="1"/>
    <x v="1"/>
    <n v="1"/>
    <x v="1"/>
  </r>
  <r>
    <x v="0"/>
    <x v="0"/>
    <x v="0"/>
    <s v="A-12"/>
    <s v="conform"/>
    <x v="1"/>
    <x v="1"/>
    <n v="1"/>
    <x v="1"/>
  </r>
  <r>
    <x v="0"/>
    <x v="0"/>
    <x v="0"/>
    <s v="A-13"/>
    <s v="nonconform"/>
    <x v="1"/>
    <x v="1"/>
    <n v="1"/>
    <x v="1"/>
  </r>
  <r>
    <x v="0"/>
    <x v="0"/>
    <x v="0"/>
    <s v="A-14"/>
    <s v="conform"/>
    <x v="1"/>
    <x v="1"/>
    <n v="1"/>
    <x v="1"/>
  </r>
  <r>
    <x v="0"/>
    <x v="0"/>
    <x v="0"/>
    <s v="A-15"/>
    <s v="nonconform"/>
    <x v="1"/>
    <x v="1"/>
    <n v="1"/>
    <x v="1"/>
  </r>
  <r>
    <x v="0"/>
    <x v="0"/>
    <x v="0"/>
    <s v="A-16"/>
    <s v="nonconform"/>
    <x v="1"/>
    <x v="1"/>
    <n v="1"/>
    <x v="1"/>
  </r>
  <r>
    <x v="1"/>
    <x v="0"/>
    <x v="1"/>
    <s v="A-01"/>
    <s v="nonconform"/>
    <x v="2"/>
    <x v="1"/>
    <n v="1"/>
    <x v="2"/>
  </r>
  <r>
    <x v="1"/>
    <x v="0"/>
    <x v="1"/>
    <s v="A-02"/>
    <s v="conform"/>
    <x v="2"/>
    <x v="1"/>
    <n v="1"/>
    <x v="2"/>
  </r>
  <r>
    <x v="1"/>
    <x v="0"/>
    <x v="1"/>
    <s v="A-03"/>
    <s v="nonconform"/>
    <x v="2"/>
    <x v="1"/>
    <n v="1"/>
    <x v="2"/>
  </r>
  <r>
    <x v="1"/>
    <x v="0"/>
    <x v="1"/>
    <s v="A-04"/>
    <s v="nonconform"/>
    <x v="2"/>
    <x v="1"/>
    <n v="1"/>
    <x v="2"/>
  </r>
  <r>
    <x v="1"/>
    <x v="0"/>
    <x v="1"/>
    <s v="A-05"/>
    <s v="conform"/>
    <x v="2"/>
    <x v="1"/>
    <n v="1"/>
    <x v="2"/>
  </r>
  <r>
    <x v="1"/>
    <x v="0"/>
    <x v="1"/>
    <s v="A-06"/>
    <s v="nonconform"/>
    <x v="2"/>
    <x v="1"/>
    <n v="1"/>
    <x v="2"/>
  </r>
  <r>
    <x v="1"/>
    <x v="0"/>
    <x v="1"/>
    <s v="A-07"/>
    <s v="nonconform"/>
    <x v="2"/>
    <x v="1"/>
    <n v="1"/>
    <x v="2"/>
  </r>
  <r>
    <x v="1"/>
    <x v="0"/>
    <x v="1"/>
    <s v="A-08"/>
    <s v="conform"/>
    <x v="2"/>
    <x v="1"/>
    <n v="1"/>
    <x v="2"/>
  </r>
  <r>
    <x v="1"/>
    <x v="0"/>
    <x v="1"/>
    <s v="A-09"/>
    <s v="nonconform"/>
    <x v="3"/>
    <x v="1"/>
    <n v="1"/>
    <x v="3"/>
  </r>
  <r>
    <x v="1"/>
    <x v="0"/>
    <x v="1"/>
    <s v="A-10"/>
    <s v="conform"/>
    <x v="3"/>
    <x v="1"/>
    <n v="1"/>
    <x v="3"/>
  </r>
  <r>
    <x v="1"/>
    <x v="0"/>
    <x v="1"/>
    <s v="A-11"/>
    <s v="conform"/>
    <x v="3"/>
    <x v="1"/>
    <n v="1"/>
    <x v="3"/>
  </r>
  <r>
    <x v="1"/>
    <x v="0"/>
    <x v="1"/>
    <s v="A-12"/>
    <s v="conform"/>
    <x v="3"/>
    <x v="1"/>
    <n v="1"/>
    <x v="3"/>
  </r>
  <r>
    <x v="1"/>
    <x v="0"/>
    <x v="1"/>
    <s v="A-13"/>
    <s v="nonconform"/>
    <x v="3"/>
    <x v="1"/>
    <n v="1"/>
    <x v="3"/>
  </r>
  <r>
    <x v="1"/>
    <x v="0"/>
    <x v="1"/>
    <s v="A-14"/>
    <s v="conform"/>
    <x v="3"/>
    <x v="1"/>
    <n v="1"/>
    <x v="3"/>
  </r>
  <r>
    <x v="1"/>
    <x v="0"/>
    <x v="1"/>
    <s v="A-15"/>
    <s v="nonconform"/>
    <x v="3"/>
    <x v="1"/>
    <n v="1"/>
    <x v="3"/>
  </r>
  <r>
    <x v="1"/>
    <x v="0"/>
    <x v="1"/>
    <s v="A-16"/>
    <s v="nonconform"/>
    <x v="3"/>
    <x v="1"/>
    <n v="1"/>
    <x v="3"/>
  </r>
  <r>
    <x v="2"/>
    <x v="1"/>
    <x v="0"/>
    <s v="A-01"/>
    <s v="nonconform"/>
    <x v="4"/>
    <x v="1"/>
    <n v="1"/>
    <x v="4"/>
  </r>
  <r>
    <x v="2"/>
    <x v="1"/>
    <x v="0"/>
    <s v="A-02"/>
    <s v="conform"/>
    <x v="4"/>
    <x v="1"/>
    <n v="1"/>
    <x v="4"/>
  </r>
  <r>
    <x v="2"/>
    <x v="1"/>
    <x v="0"/>
    <s v="A-03"/>
    <s v="nonconform"/>
    <x v="4"/>
    <x v="1"/>
    <n v="1"/>
    <x v="4"/>
  </r>
  <r>
    <x v="2"/>
    <x v="1"/>
    <x v="0"/>
    <s v="A-04"/>
    <s v="nonconform"/>
    <x v="4"/>
    <x v="1"/>
    <n v="1"/>
    <x v="4"/>
  </r>
  <r>
    <x v="2"/>
    <x v="1"/>
    <x v="0"/>
    <s v="A-05"/>
    <s v="conform"/>
    <x v="4"/>
    <x v="1"/>
    <n v="1"/>
    <x v="4"/>
  </r>
  <r>
    <x v="2"/>
    <x v="1"/>
    <x v="0"/>
    <s v="A-06"/>
    <s v="nonconform"/>
    <x v="4"/>
    <x v="1"/>
    <n v="1"/>
    <x v="4"/>
  </r>
  <r>
    <x v="2"/>
    <x v="1"/>
    <x v="0"/>
    <s v="A-07"/>
    <s v="nonconform"/>
    <x v="4"/>
    <x v="1"/>
    <n v="1"/>
    <x v="4"/>
  </r>
  <r>
    <x v="2"/>
    <x v="1"/>
    <x v="0"/>
    <s v="A-08"/>
    <s v="conform"/>
    <x v="4"/>
    <x v="1"/>
    <n v="1"/>
    <x v="4"/>
  </r>
  <r>
    <x v="2"/>
    <x v="1"/>
    <x v="0"/>
    <s v="A-09"/>
    <s v="nonconform"/>
    <x v="5"/>
    <x v="1"/>
    <n v="1"/>
    <x v="3"/>
  </r>
  <r>
    <x v="2"/>
    <x v="1"/>
    <x v="0"/>
    <s v="A-10"/>
    <s v="conform"/>
    <x v="5"/>
    <x v="1"/>
    <n v="1"/>
    <x v="3"/>
  </r>
  <r>
    <x v="2"/>
    <x v="1"/>
    <x v="0"/>
    <s v="A-11"/>
    <s v="conform"/>
    <x v="5"/>
    <x v="1"/>
    <n v="1"/>
    <x v="3"/>
  </r>
  <r>
    <x v="2"/>
    <x v="1"/>
    <x v="0"/>
    <s v="A-12"/>
    <s v="conform"/>
    <x v="5"/>
    <x v="1"/>
    <n v="1"/>
    <x v="3"/>
  </r>
  <r>
    <x v="2"/>
    <x v="1"/>
    <x v="0"/>
    <s v="A-13"/>
    <s v="nonconform"/>
    <x v="5"/>
    <x v="1"/>
    <n v="1"/>
    <x v="3"/>
  </r>
  <r>
    <x v="2"/>
    <x v="1"/>
    <x v="0"/>
    <s v="A-14"/>
    <s v="conform"/>
    <x v="5"/>
    <x v="1"/>
    <n v="1"/>
    <x v="3"/>
  </r>
  <r>
    <x v="2"/>
    <x v="1"/>
    <x v="0"/>
    <s v="A-15"/>
    <s v="nonconform"/>
    <x v="5"/>
    <x v="1"/>
    <n v="1"/>
    <x v="3"/>
  </r>
  <r>
    <x v="2"/>
    <x v="1"/>
    <x v="0"/>
    <s v="A-16"/>
    <s v="nonconform"/>
    <x v="5"/>
    <x v="1"/>
    <n v="1"/>
    <x v="3"/>
  </r>
  <r>
    <x v="3"/>
    <x v="1"/>
    <x v="0"/>
    <s v="A-01"/>
    <s v="nonconform"/>
    <x v="6"/>
    <x v="1"/>
    <n v="1"/>
    <x v="5"/>
  </r>
  <r>
    <x v="3"/>
    <x v="1"/>
    <x v="0"/>
    <s v="A-02"/>
    <s v="conform"/>
    <x v="6"/>
    <x v="1"/>
    <n v="1"/>
    <x v="5"/>
  </r>
  <r>
    <x v="3"/>
    <x v="1"/>
    <x v="0"/>
    <s v="A-03"/>
    <s v="nonconform"/>
    <x v="6"/>
    <x v="1"/>
    <n v="1"/>
    <x v="5"/>
  </r>
  <r>
    <x v="3"/>
    <x v="1"/>
    <x v="0"/>
    <s v="A-04"/>
    <s v="nonconform"/>
    <x v="6"/>
    <x v="1"/>
    <n v="1"/>
    <x v="5"/>
  </r>
  <r>
    <x v="3"/>
    <x v="1"/>
    <x v="0"/>
    <s v="A-05"/>
    <s v="conform"/>
    <x v="6"/>
    <x v="1"/>
    <n v="1"/>
    <x v="5"/>
  </r>
  <r>
    <x v="3"/>
    <x v="1"/>
    <x v="0"/>
    <s v="A-06"/>
    <s v="nonconform"/>
    <x v="6"/>
    <x v="1"/>
    <n v="1"/>
    <x v="5"/>
  </r>
  <r>
    <x v="3"/>
    <x v="1"/>
    <x v="0"/>
    <s v="A-07"/>
    <s v="nonconform"/>
    <x v="6"/>
    <x v="1"/>
    <n v="1"/>
    <x v="5"/>
  </r>
  <r>
    <x v="3"/>
    <x v="1"/>
    <x v="0"/>
    <s v="A-08"/>
    <s v="conform"/>
    <x v="6"/>
    <x v="1"/>
    <n v="1"/>
    <x v="5"/>
  </r>
  <r>
    <x v="3"/>
    <x v="1"/>
    <x v="0"/>
    <s v="A-09"/>
    <s v="nonconform"/>
    <x v="7"/>
    <x v="1"/>
    <n v="1"/>
    <x v="2"/>
  </r>
  <r>
    <x v="3"/>
    <x v="1"/>
    <x v="0"/>
    <s v="A-10"/>
    <s v="conform"/>
    <x v="7"/>
    <x v="1"/>
    <n v="1"/>
    <x v="2"/>
  </r>
  <r>
    <x v="3"/>
    <x v="1"/>
    <x v="0"/>
    <s v="A-11"/>
    <s v="conform"/>
    <x v="7"/>
    <x v="1"/>
    <n v="1"/>
    <x v="2"/>
  </r>
  <r>
    <x v="3"/>
    <x v="1"/>
    <x v="0"/>
    <s v="A-12"/>
    <s v="conform"/>
    <x v="7"/>
    <x v="1"/>
    <n v="1"/>
    <x v="2"/>
  </r>
  <r>
    <x v="3"/>
    <x v="1"/>
    <x v="0"/>
    <s v="A-13"/>
    <s v="nonconform"/>
    <x v="7"/>
    <x v="1"/>
    <n v="1"/>
    <x v="2"/>
  </r>
  <r>
    <x v="3"/>
    <x v="1"/>
    <x v="0"/>
    <s v="A-14"/>
    <s v="conform"/>
    <x v="7"/>
    <x v="1"/>
    <n v="1"/>
    <x v="2"/>
  </r>
  <r>
    <x v="3"/>
    <x v="1"/>
    <x v="0"/>
    <s v="A-15"/>
    <s v="nonconform"/>
    <x v="7"/>
    <x v="1"/>
    <n v="1"/>
    <x v="2"/>
  </r>
  <r>
    <x v="3"/>
    <x v="1"/>
    <x v="0"/>
    <s v="A-16"/>
    <s v="nonconform"/>
    <x v="7"/>
    <x v="1"/>
    <n v="1"/>
    <x v="2"/>
  </r>
  <r>
    <x v="4"/>
    <x v="1"/>
    <x v="1"/>
    <s v="A-01"/>
    <s v="nonconform"/>
    <x v="8"/>
    <x v="1"/>
    <n v="1"/>
    <x v="0"/>
  </r>
  <r>
    <x v="4"/>
    <x v="1"/>
    <x v="1"/>
    <s v="A-02"/>
    <s v="conform"/>
    <x v="8"/>
    <x v="1"/>
    <n v="1"/>
    <x v="0"/>
  </r>
  <r>
    <x v="4"/>
    <x v="1"/>
    <x v="1"/>
    <s v="A-03"/>
    <s v="nonconform"/>
    <x v="8"/>
    <x v="1"/>
    <n v="1"/>
    <x v="0"/>
  </r>
  <r>
    <x v="4"/>
    <x v="1"/>
    <x v="1"/>
    <s v="A-04"/>
    <s v="nonconform"/>
    <x v="8"/>
    <x v="1"/>
    <n v="1"/>
    <x v="0"/>
  </r>
  <r>
    <x v="4"/>
    <x v="1"/>
    <x v="1"/>
    <s v="A-05"/>
    <s v="conform"/>
    <x v="8"/>
    <x v="1"/>
    <n v="1"/>
    <x v="0"/>
  </r>
  <r>
    <x v="4"/>
    <x v="1"/>
    <x v="1"/>
    <s v="A-06"/>
    <s v="nonconform"/>
    <x v="8"/>
    <x v="1"/>
    <n v="1"/>
    <x v="0"/>
  </r>
  <r>
    <x v="4"/>
    <x v="1"/>
    <x v="1"/>
    <s v="A-07"/>
    <s v="nonconform"/>
    <x v="8"/>
    <x v="1"/>
    <n v="1"/>
    <x v="0"/>
  </r>
  <r>
    <x v="4"/>
    <x v="1"/>
    <x v="1"/>
    <s v="A-08"/>
    <s v="conform"/>
    <x v="8"/>
    <x v="1"/>
    <n v="1"/>
    <x v="0"/>
  </r>
  <r>
    <x v="4"/>
    <x v="1"/>
    <x v="1"/>
    <s v="A-09"/>
    <s v="nonconform"/>
    <x v="9"/>
    <x v="1"/>
    <n v="1"/>
    <x v="1"/>
  </r>
  <r>
    <x v="4"/>
    <x v="1"/>
    <x v="1"/>
    <s v="A-10"/>
    <s v="conform"/>
    <x v="9"/>
    <x v="1"/>
    <n v="1"/>
    <x v="1"/>
  </r>
  <r>
    <x v="4"/>
    <x v="1"/>
    <x v="1"/>
    <s v="A-11"/>
    <s v="conform"/>
    <x v="9"/>
    <x v="1"/>
    <n v="1"/>
    <x v="1"/>
  </r>
  <r>
    <x v="4"/>
    <x v="1"/>
    <x v="1"/>
    <s v="A-12"/>
    <s v="conform"/>
    <x v="9"/>
    <x v="1"/>
    <n v="1"/>
    <x v="1"/>
  </r>
  <r>
    <x v="4"/>
    <x v="1"/>
    <x v="1"/>
    <s v="A-13"/>
    <s v="nonconform"/>
    <x v="9"/>
    <x v="1"/>
    <n v="1"/>
    <x v="1"/>
  </r>
  <r>
    <x v="4"/>
    <x v="1"/>
    <x v="1"/>
    <s v="A-14"/>
    <s v="conform"/>
    <x v="9"/>
    <x v="1"/>
    <n v="1"/>
    <x v="1"/>
  </r>
  <r>
    <x v="4"/>
    <x v="1"/>
    <x v="1"/>
    <s v="A-15"/>
    <s v="nonconform"/>
    <x v="9"/>
    <x v="1"/>
    <n v="1"/>
    <x v="1"/>
  </r>
  <r>
    <x v="4"/>
    <x v="1"/>
    <x v="1"/>
    <s v="A-16"/>
    <s v="nonconform"/>
    <x v="9"/>
    <x v="1"/>
    <n v="1"/>
    <x v="1"/>
  </r>
  <r>
    <x v="0"/>
    <x v="0"/>
    <x v="0"/>
    <s v="A-01"/>
    <s v="nonconform"/>
    <x v="0"/>
    <x v="2"/>
    <n v="1"/>
    <x v="0"/>
  </r>
  <r>
    <x v="0"/>
    <x v="0"/>
    <x v="0"/>
    <s v="A-02"/>
    <s v="conform"/>
    <x v="0"/>
    <x v="2"/>
    <n v="1"/>
    <x v="0"/>
  </r>
  <r>
    <x v="0"/>
    <x v="0"/>
    <x v="0"/>
    <s v="A-03"/>
    <s v="nonconform"/>
    <x v="0"/>
    <x v="2"/>
    <n v="1"/>
    <x v="0"/>
  </r>
  <r>
    <x v="0"/>
    <x v="0"/>
    <x v="0"/>
    <s v="A-04"/>
    <s v="nonconform"/>
    <x v="0"/>
    <x v="2"/>
    <n v="1"/>
    <x v="0"/>
  </r>
  <r>
    <x v="0"/>
    <x v="0"/>
    <x v="0"/>
    <s v="A-05"/>
    <s v="conform"/>
    <x v="0"/>
    <x v="2"/>
    <n v="1"/>
    <x v="0"/>
  </r>
  <r>
    <x v="0"/>
    <x v="0"/>
    <x v="0"/>
    <s v="A-06"/>
    <s v="nonconform"/>
    <x v="0"/>
    <x v="2"/>
    <n v="1"/>
    <x v="0"/>
  </r>
  <r>
    <x v="0"/>
    <x v="0"/>
    <x v="0"/>
    <s v="A-07"/>
    <s v="nonconform"/>
    <x v="0"/>
    <x v="2"/>
    <n v="1"/>
    <x v="0"/>
  </r>
  <r>
    <x v="0"/>
    <x v="0"/>
    <x v="0"/>
    <s v="A-08"/>
    <s v="conform"/>
    <x v="0"/>
    <x v="2"/>
    <n v="1"/>
    <x v="0"/>
  </r>
  <r>
    <x v="0"/>
    <x v="0"/>
    <x v="0"/>
    <s v="A-09"/>
    <s v="nonconform"/>
    <x v="1"/>
    <x v="2"/>
    <n v="1"/>
    <x v="1"/>
  </r>
  <r>
    <x v="0"/>
    <x v="0"/>
    <x v="0"/>
    <s v="A-10"/>
    <s v="conform"/>
    <x v="1"/>
    <x v="2"/>
    <n v="1"/>
    <x v="1"/>
  </r>
  <r>
    <x v="0"/>
    <x v="0"/>
    <x v="0"/>
    <s v="A-11"/>
    <s v="conform"/>
    <x v="1"/>
    <x v="2"/>
    <n v="1"/>
    <x v="1"/>
  </r>
  <r>
    <x v="0"/>
    <x v="0"/>
    <x v="0"/>
    <s v="A-12"/>
    <s v="conform"/>
    <x v="1"/>
    <x v="2"/>
    <n v="1"/>
    <x v="1"/>
  </r>
  <r>
    <x v="0"/>
    <x v="0"/>
    <x v="0"/>
    <s v="A-13"/>
    <s v="nonconform"/>
    <x v="1"/>
    <x v="2"/>
    <n v="1"/>
    <x v="1"/>
  </r>
  <r>
    <x v="0"/>
    <x v="0"/>
    <x v="0"/>
    <s v="A-14"/>
    <s v="conform"/>
    <x v="1"/>
    <x v="2"/>
    <n v="1"/>
    <x v="1"/>
  </r>
  <r>
    <x v="0"/>
    <x v="0"/>
    <x v="0"/>
    <s v="A-15"/>
    <s v="nonconform"/>
    <x v="1"/>
    <x v="2"/>
    <n v="1"/>
    <x v="1"/>
  </r>
  <r>
    <x v="0"/>
    <x v="0"/>
    <x v="0"/>
    <s v="A-16"/>
    <s v="nonconform"/>
    <x v="1"/>
    <x v="2"/>
    <n v="1"/>
    <x v="1"/>
  </r>
  <r>
    <x v="1"/>
    <x v="0"/>
    <x v="1"/>
    <s v="A-01"/>
    <s v="nonconform"/>
    <x v="2"/>
    <x v="2"/>
    <n v="1"/>
    <x v="2"/>
  </r>
  <r>
    <x v="1"/>
    <x v="0"/>
    <x v="1"/>
    <s v="A-02"/>
    <s v="conform"/>
    <x v="2"/>
    <x v="2"/>
    <n v="1"/>
    <x v="2"/>
  </r>
  <r>
    <x v="1"/>
    <x v="0"/>
    <x v="1"/>
    <s v="A-03"/>
    <s v="nonconform"/>
    <x v="2"/>
    <x v="2"/>
    <n v="1"/>
    <x v="2"/>
  </r>
  <r>
    <x v="1"/>
    <x v="0"/>
    <x v="1"/>
    <s v="A-04"/>
    <s v="nonconform"/>
    <x v="2"/>
    <x v="2"/>
    <n v="1"/>
    <x v="2"/>
  </r>
  <r>
    <x v="1"/>
    <x v="0"/>
    <x v="1"/>
    <s v="A-05"/>
    <s v="conform"/>
    <x v="2"/>
    <x v="2"/>
    <n v="1"/>
    <x v="2"/>
  </r>
  <r>
    <x v="1"/>
    <x v="0"/>
    <x v="1"/>
    <s v="A-06"/>
    <s v="nonconform"/>
    <x v="2"/>
    <x v="2"/>
    <n v="1"/>
    <x v="2"/>
  </r>
  <r>
    <x v="1"/>
    <x v="0"/>
    <x v="1"/>
    <s v="A-07"/>
    <s v="nonconform"/>
    <x v="2"/>
    <x v="2"/>
    <n v="1"/>
    <x v="2"/>
  </r>
  <r>
    <x v="1"/>
    <x v="0"/>
    <x v="1"/>
    <s v="A-08"/>
    <s v="conform"/>
    <x v="2"/>
    <x v="2"/>
    <n v="1"/>
    <x v="2"/>
  </r>
  <r>
    <x v="1"/>
    <x v="0"/>
    <x v="1"/>
    <s v="A-09"/>
    <s v="nonconform"/>
    <x v="3"/>
    <x v="2"/>
    <n v="1"/>
    <x v="3"/>
  </r>
  <r>
    <x v="1"/>
    <x v="0"/>
    <x v="1"/>
    <s v="A-10"/>
    <s v="conform"/>
    <x v="3"/>
    <x v="2"/>
    <n v="1"/>
    <x v="3"/>
  </r>
  <r>
    <x v="1"/>
    <x v="0"/>
    <x v="1"/>
    <s v="A-11"/>
    <s v="conform"/>
    <x v="3"/>
    <x v="2"/>
    <n v="1"/>
    <x v="3"/>
  </r>
  <r>
    <x v="1"/>
    <x v="0"/>
    <x v="1"/>
    <s v="A-12"/>
    <s v="conform"/>
    <x v="3"/>
    <x v="2"/>
    <n v="1"/>
    <x v="3"/>
  </r>
  <r>
    <x v="1"/>
    <x v="0"/>
    <x v="1"/>
    <s v="A-13"/>
    <s v="nonconform"/>
    <x v="3"/>
    <x v="2"/>
    <n v="1"/>
    <x v="3"/>
  </r>
  <r>
    <x v="1"/>
    <x v="0"/>
    <x v="1"/>
    <s v="A-14"/>
    <s v="conform"/>
    <x v="3"/>
    <x v="2"/>
    <n v="1"/>
    <x v="3"/>
  </r>
  <r>
    <x v="1"/>
    <x v="0"/>
    <x v="1"/>
    <s v="A-15"/>
    <s v="nonconform"/>
    <x v="3"/>
    <x v="2"/>
    <n v="1"/>
    <x v="3"/>
  </r>
  <r>
    <x v="1"/>
    <x v="0"/>
    <x v="1"/>
    <s v="A-16"/>
    <s v="nonconform"/>
    <x v="3"/>
    <x v="2"/>
    <n v="1"/>
    <x v="3"/>
  </r>
  <r>
    <x v="2"/>
    <x v="1"/>
    <x v="0"/>
    <s v="A-01"/>
    <s v="nonconform"/>
    <x v="4"/>
    <x v="2"/>
    <n v="1"/>
    <x v="4"/>
  </r>
  <r>
    <x v="2"/>
    <x v="1"/>
    <x v="0"/>
    <s v="A-02"/>
    <s v="conform"/>
    <x v="4"/>
    <x v="2"/>
    <n v="1"/>
    <x v="4"/>
  </r>
  <r>
    <x v="2"/>
    <x v="1"/>
    <x v="0"/>
    <s v="A-03"/>
    <s v="nonconform"/>
    <x v="4"/>
    <x v="2"/>
    <n v="1"/>
    <x v="4"/>
  </r>
  <r>
    <x v="2"/>
    <x v="1"/>
    <x v="0"/>
    <s v="A-04"/>
    <s v="nonconform"/>
    <x v="4"/>
    <x v="2"/>
    <n v="1"/>
    <x v="4"/>
  </r>
  <r>
    <x v="2"/>
    <x v="1"/>
    <x v="0"/>
    <s v="A-05"/>
    <s v="conform"/>
    <x v="4"/>
    <x v="2"/>
    <n v="1"/>
    <x v="4"/>
  </r>
  <r>
    <x v="2"/>
    <x v="1"/>
    <x v="0"/>
    <s v="A-06"/>
    <s v="nonconform"/>
    <x v="4"/>
    <x v="2"/>
    <n v="1"/>
    <x v="4"/>
  </r>
  <r>
    <x v="2"/>
    <x v="1"/>
    <x v="0"/>
    <s v="A-07"/>
    <s v="nonconform"/>
    <x v="4"/>
    <x v="2"/>
    <n v="1"/>
    <x v="4"/>
  </r>
  <r>
    <x v="2"/>
    <x v="1"/>
    <x v="0"/>
    <s v="A-08"/>
    <s v="conform"/>
    <x v="4"/>
    <x v="2"/>
    <n v="1"/>
    <x v="4"/>
  </r>
  <r>
    <x v="2"/>
    <x v="1"/>
    <x v="0"/>
    <s v="A-09"/>
    <s v="nonconform"/>
    <x v="5"/>
    <x v="2"/>
    <n v="1"/>
    <x v="3"/>
  </r>
  <r>
    <x v="2"/>
    <x v="1"/>
    <x v="0"/>
    <s v="A-10"/>
    <s v="conform"/>
    <x v="5"/>
    <x v="2"/>
    <n v="1"/>
    <x v="3"/>
  </r>
  <r>
    <x v="2"/>
    <x v="1"/>
    <x v="0"/>
    <s v="A-11"/>
    <s v="conform"/>
    <x v="5"/>
    <x v="2"/>
    <n v="1"/>
    <x v="3"/>
  </r>
  <r>
    <x v="2"/>
    <x v="1"/>
    <x v="0"/>
    <s v="A-12"/>
    <s v="conform"/>
    <x v="5"/>
    <x v="2"/>
    <n v="1"/>
    <x v="3"/>
  </r>
  <r>
    <x v="2"/>
    <x v="1"/>
    <x v="0"/>
    <s v="A-13"/>
    <s v="nonconform"/>
    <x v="5"/>
    <x v="2"/>
    <n v="1"/>
    <x v="3"/>
  </r>
  <r>
    <x v="2"/>
    <x v="1"/>
    <x v="0"/>
    <s v="A-14"/>
    <s v="conform"/>
    <x v="5"/>
    <x v="2"/>
    <n v="1"/>
    <x v="3"/>
  </r>
  <r>
    <x v="2"/>
    <x v="1"/>
    <x v="0"/>
    <s v="A-15"/>
    <s v="nonconform"/>
    <x v="5"/>
    <x v="2"/>
    <n v="1"/>
    <x v="3"/>
  </r>
  <r>
    <x v="2"/>
    <x v="1"/>
    <x v="0"/>
    <s v="A-16"/>
    <s v="nonconform"/>
    <x v="5"/>
    <x v="2"/>
    <n v="1"/>
    <x v="3"/>
  </r>
  <r>
    <x v="3"/>
    <x v="1"/>
    <x v="0"/>
    <s v="A-01"/>
    <s v="nonconform"/>
    <x v="6"/>
    <x v="2"/>
    <n v="1"/>
    <x v="5"/>
  </r>
  <r>
    <x v="3"/>
    <x v="1"/>
    <x v="0"/>
    <s v="A-02"/>
    <s v="conform"/>
    <x v="6"/>
    <x v="2"/>
    <n v="1"/>
    <x v="5"/>
  </r>
  <r>
    <x v="3"/>
    <x v="1"/>
    <x v="0"/>
    <s v="A-03"/>
    <s v="nonconform"/>
    <x v="6"/>
    <x v="2"/>
    <n v="1"/>
    <x v="5"/>
  </r>
  <r>
    <x v="3"/>
    <x v="1"/>
    <x v="0"/>
    <s v="A-04"/>
    <s v="nonconform"/>
    <x v="6"/>
    <x v="2"/>
    <n v="1"/>
    <x v="5"/>
  </r>
  <r>
    <x v="3"/>
    <x v="1"/>
    <x v="0"/>
    <s v="A-05"/>
    <s v="conform"/>
    <x v="6"/>
    <x v="2"/>
    <n v="1"/>
    <x v="5"/>
  </r>
  <r>
    <x v="3"/>
    <x v="1"/>
    <x v="0"/>
    <s v="A-06"/>
    <s v="nonconform"/>
    <x v="6"/>
    <x v="2"/>
    <n v="1"/>
    <x v="5"/>
  </r>
  <r>
    <x v="3"/>
    <x v="1"/>
    <x v="0"/>
    <s v="A-07"/>
    <s v="nonconform"/>
    <x v="6"/>
    <x v="2"/>
    <n v="1"/>
    <x v="5"/>
  </r>
  <r>
    <x v="3"/>
    <x v="1"/>
    <x v="0"/>
    <s v="A-08"/>
    <s v="conform"/>
    <x v="6"/>
    <x v="2"/>
    <n v="1"/>
    <x v="5"/>
  </r>
  <r>
    <x v="3"/>
    <x v="1"/>
    <x v="0"/>
    <s v="A-09"/>
    <s v="nonconform"/>
    <x v="7"/>
    <x v="2"/>
    <n v="1"/>
    <x v="2"/>
  </r>
  <r>
    <x v="3"/>
    <x v="1"/>
    <x v="0"/>
    <s v="A-10"/>
    <s v="conform"/>
    <x v="7"/>
    <x v="2"/>
    <n v="1"/>
    <x v="2"/>
  </r>
  <r>
    <x v="3"/>
    <x v="1"/>
    <x v="0"/>
    <s v="A-11"/>
    <s v="conform"/>
    <x v="7"/>
    <x v="2"/>
    <n v="1"/>
    <x v="2"/>
  </r>
  <r>
    <x v="3"/>
    <x v="1"/>
    <x v="0"/>
    <s v="A-12"/>
    <s v="conform"/>
    <x v="7"/>
    <x v="2"/>
    <n v="1"/>
    <x v="2"/>
  </r>
  <r>
    <x v="3"/>
    <x v="1"/>
    <x v="0"/>
    <s v="A-13"/>
    <s v="nonconform"/>
    <x v="7"/>
    <x v="2"/>
    <n v="1"/>
    <x v="2"/>
  </r>
  <r>
    <x v="3"/>
    <x v="1"/>
    <x v="0"/>
    <s v="A-14"/>
    <s v="conform"/>
    <x v="7"/>
    <x v="2"/>
    <n v="1"/>
    <x v="2"/>
  </r>
  <r>
    <x v="3"/>
    <x v="1"/>
    <x v="0"/>
    <s v="A-15"/>
    <s v="nonconform"/>
    <x v="7"/>
    <x v="2"/>
    <n v="1"/>
    <x v="2"/>
  </r>
  <r>
    <x v="3"/>
    <x v="1"/>
    <x v="0"/>
    <s v="A-16"/>
    <s v="nonconform"/>
    <x v="7"/>
    <x v="2"/>
    <n v="1"/>
    <x v="2"/>
  </r>
  <r>
    <x v="4"/>
    <x v="1"/>
    <x v="1"/>
    <s v="A-01"/>
    <s v="nonconform"/>
    <x v="8"/>
    <x v="2"/>
    <n v="1"/>
    <x v="0"/>
  </r>
  <r>
    <x v="4"/>
    <x v="1"/>
    <x v="1"/>
    <s v="A-02"/>
    <s v="conform"/>
    <x v="8"/>
    <x v="2"/>
    <n v="1"/>
    <x v="0"/>
  </r>
  <r>
    <x v="4"/>
    <x v="1"/>
    <x v="1"/>
    <s v="A-03"/>
    <s v="nonconform"/>
    <x v="8"/>
    <x v="2"/>
    <n v="1"/>
    <x v="0"/>
  </r>
  <r>
    <x v="4"/>
    <x v="1"/>
    <x v="1"/>
    <s v="A-04"/>
    <s v="nonconform"/>
    <x v="8"/>
    <x v="2"/>
    <n v="1"/>
    <x v="0"/>
  </r>
  <r>
    <x v="4"/>
    <x v="1"/>
    <x v="1"/>
    <s v="A-05"/>
    <s v="conform"/>
    <x v="8"/>
    <x v="2"/>
    <n v="1"/>
    <x v="0"/>
  </r>
  <r>
    <x v="4"/>
    <x v="1"/>
    <x v="1"/>
    <s v="A-06"/>
    <s v="nonconform"/>
    <x v="8"/>
    <x v="2"/>
    <n v="1"/>
    <x v="0"/>
  </r>
  <r>
    <x v="4"/>
    <x v="1"/>
    <x v="1"/>
    <s v="A-07"/>
    <s v="nonconform"/>
    <x v="8"/>
    <x v="2"/>
    <n v="1"/>
    <x v="0"/>
  </r>
  <r>
    <x v="4"/>
    <x v="1"/>
    <x v="1"/>
    <s v="A-08"/>
    <s v="conform"/>
    <x v="8"/>
    <x v="2"/>
    <n v="1"/>
    <x v="0"/>
  </r>
  <r>
    <x v="4"/>
    <x v="1"/>
    <x v="1"/>
    <s v="A-09"/>
    <s v="nonconform"/>
    <x v="9"/>
    <x v="2"/>
    <n v="1"/>
    <x v="1"/>
  </r>
  <r>
    <x v="4"/>
    <x v="1"/>
    <x v="1"/>
    <s v="A-10"/>
    <s v="conform"/>
    <x v="9"/>
    <x v="2"/>
    <n v="1"/>
    <x v="1"/>
  </r>
  <r>
    <x v="4"/>
    <x v="1"/>
    <x v="1"/>
    <s v="A-11"/>
    <s v="conform"/>
    <x v="9"/>
    <x v="2"/>
    <n v="1"/>
    <x v="1"/>
  </r>
  <r>
    <x v="4"/>
    <x v="1"/>
    <x v="1"/>
    <s v="A-12"/>
    <s v="conform"/>
    <x v="9"/>
    <x v="2"/>
    <n v="1"/>
    <x v="1"/>
  </r>
  <r>
    <x v="4"/>
    <x v="1"/>
    <x v="1"/>
    <s v="A-13"/>
    <s v="nonconform"/>
    <x v="9"/>
    <x v="2"/>
    <n v="1"/>
    <x v="1"/>
  </r>
  <r>
    <x v="4"/>
    <x v="1"/>
    <x v="1"/>
    <s v="A-14"/>
    <s v="conform"/>
    <x v="9"/>
    <x v="2"/>
    <n v="1"/>
    <x v="1"/>
  </r>
  <r>
    <x v="4"/>
    <x v="1"/>
    <x v="1"/>
    <s v="A-15"/>
    <s v="nonconform"/>
    <x v="9"/>
    <x v="2"/>
    <n v="1"/>
    <x v="1"/>
  </r>
  <r>
    <x v="4"/>
    <x v="1"/>
    <x v="1"/>
    <s v="A-16"/>
    <s v="nonconform"/>
    <x v="9"/>
    <x v="2"/>
    <n v="1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E8F130-BEDF-4CDC-B7D1-7410B0448960}" name="PivotTable1" cacheId="55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K2:L5" firstHeaderRow="1" firstDataRow="1" firstDataCol="1"/>
  <pivotFields count="2">
    <pivotField dataField="1" showAll="0"/>
    <pivotField axis="axisRow" showAll="0">
      <items count="3">
        <item x="0"/>
        <item x="1"/>
        <item t="default"/>
      </items>
    </pivotField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name="Count of specimen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5FC206-7F89-411C-84EE-FB09EFCB9E3B}" name="PivotTable2" cacheId="56" applyNumberFormats="0" applyBorderFormats="0" applyFontFormats="0" applyPatternFormats="0" applyAlignmentFormats="0" applyWidthHeightFormats="1" dataCaption="Values" updatedVersion="7" minRefreshableVersion="3" useAutoFormatting="1" rowGrandTotals="0" itemPrintTitles="1" createdVersion="7" indent="0" compact="0" compactData="0" gridDropZones="1" multipleFieldFilters="0">
  <location ref="A3:G37" firstHeaderRow="2" firstDataRow="2" firstDataCol="6"/>
  <pivotFields count="9">
    <pivotField axis="axisRow" compact="0" outline="0" showAll="0" defaultSubtotal="0">
      <items count="5">
        <item x="0"/>
        <item x="1"/>
        <item x="2"/>
        <item x="3"/>
        <item x="4"/>
      </items>
    </pivotField>
    <pivotField axis="axisRow" compact="0" outline="0" showAll="0">
      <items count="3">
        <item x="1"/>
        <item x="0"/>
        <item t="default"/>
      </items>
    </pivotField>
    <pivotField axis="axisRow" compact="0" outline="0" showAll="0" defaultSubtotal="0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/>
    <pivotField compact="0" outline="0" showAll="0"/>
    <pivotField axis="axisRow" compact="0" outline="0" showAll="0" defaultSubtotal="0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axis="axisRow" compact="0" outline="0" showAll="0">
      <items count="4">
        <item x="0"/>
        <item x="1"/>
        <item x="2"/>
        <item t="default"/>
      </items>
    </pivotField>
    <pivotField compact="0" outline="0" showAll="0"/>
    <pivotField axis="axisRow" compact="0" outline="0" showAll="0" defaultSubtotal="0">
      <items count="6">
        <item x="1"/>
        <item x="3"/>
        <item x="2"/>
        <item x="0"/>
        <item x="4"/>
        <item x="5"/>
      </items>
    </pivotField>
  </pivotFields>
  <rowFields count="6">
    <field x="6"/>
    <field x="2"/>
    <field x="8"/>
    <field x="5"/>
    <field x="0"/>
    <field x="1"/>
  </rowFields>
  <rowItems count="33">
    <i>
      <x/>
      <x/>
      <x/>
      <x v="1"/>
      <x/>
      <x v="1"/>
    </i>
    <i r="2">
      <x v="1"/>
      <x v="5"/>
      <x v="2"/>
      <x/>
    </i>
    <i r="2">
      <x v="2"/>
      <x v="7"/>
      <x v="3"/>
      <x/>
    </i>
    <i r="2">
      <x v="3"/>
      <x/>
      <x/>
      <x v="1"/>
    </i>
    <i r="2">
      <x v="4"/>
      <x v="4"/>
      <x v="2"/>
      <x/>
    </i>
    <i r="2">
      <x v="5"/>
      <x v="6"/>
      <x v="3"/>
      <x/>
    </i>
    <i r="1">
      <x v="1"/>
      <x/>
      <x v="9"/>
      <x v="4"/>
      <x/>
    </i>
    <i r="2">
      <x v="1"/>
      <x v="3"/>
      <x v="1"/>
      <x v="1"/>
    </i>
    <i r="2">
      <x v="2"/>
      <x v="2"/>
      <x v="1"/>
      <x v="1"/>
    </i>
    <i r="2">
      <x v="3"/>
      <x v="8"/>
      <x v="4"/>
      <x/>
    </i>
    <i t="default">
      <x/>
    </i>
    <i>
      <x v="1"/>
      <x/>
      <x/>
      <x v="1"/>
      <x/>
      <x v="1"/>
    </i>
    <i r="2">
      <x v="1"/>
      <x v="5"/>
      <x v="2"/>
      <x/>
    </i>
    <i r="2">
      <x v="2"/>
      <x v="7"/>
      <x v="3"/>
      <x/>
    </i>
    <i r="2">
      <x v="3"/>
      <x/>
      <x/>
      <x v="1"/>
    </i>
    <i r="2">
      <x v="4"/>
      <x v="4"/>
      <x v="2"/>
      <x/>
    </i>
    <i r="2">
      <x v="5"/>
      <x v="6"/>
      <x v="3"/>
      <x/>
    </i>
    <i r="1">
      <x v="1"/>
      <x/>
      <x v="9"/>
      <x v="4"/>
      <x/>
    </i>
    <i r="2">
      <x v="1"/>
      <x v="3"/>
      <x v="1"/>
      <x v="1"/>
    </i>
    <i r="2">
      <x v="2"/>
      <x v="2"/>
      <x v="1"/>
      <x v="1"/>
    </i>
    <i r="2">
      <x v="3"/>
      <x v="8"/>
      <x v="4"/>
      <x/>
    </i>
    <i t="default">
      <x v="1"/>
    </i>
    <i>
      <x v="2"/>
      <x/>
      <x/>
      <x v="1"/>
      <x/>
      <x v="1"/>
    </i>
    <i r="2">
      <x v="1"/>
      <x v="5"/>
      <x v="2"/>
      <x/>
    </i>
    <i r="2">
      <x v="2"/>
      <x v="7"/>
      <x v="3"/>
      <x/>
    </i>
    <i r="2">
      <x v="3"/>
      <x/>
      <x/>
      <x v="1"/>
    </i>
    <i r="2">
      <x v="4"/>
      <x v="4"/>
      <x v="2"/>
      <x/>
    </i>
    <i r="2">
      <x v="5"/>
      <x v="6"/>
      <x v="3"/>
      <x/>
    </i>
    <i r="1">
      <x v="1"/>
      <x/>
      <x v="9"/>
      <x v="4"/>
      <x/>
    </i>
    <i r="2">
      <x v="1"/>
      <x v="3"/>
      <x v="1"/>
      <x v="1"/>
    </i>
    <i r="2">
      <x v="2"/>
      <x v="2"/>
      <x v="1"/>
      <x v="1"/>
    </i>
    <i r="2">
      <x v="3"/>
      <x v="8"/>
      <x v="4"/>
      <x/>
    </i>
    <i t="default">
      <x v="2"/>
    </i>
  </rowItems>
  <colItems count="1">
    <i/>
  </colItems>
  <dataFields count="1">
    <dataField name="Count of specimen" fld="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E834EDE-D284-40F1-9D6C-15A8967AB2E6}" name="Table1" displayName="Table1" ref="A1:K241" totalsRowShown="0">
  <autoFilter ref="A1:K241" xr:uid="{6E834EDE-D284-40F1-9D6C-15A8967AB2E6}"/>
  <tableColumns count="11">
    <tableColumn id="1" xr3:uid="{34FE3FE6-8D6F-43D9-8D18-F6BCA8B4B69F}" name="inspector"/>
    <tableColumn id="2" xr3:uid="{F1EDD9CE-CF6C-47A7-B1A3-7891DF04732E}" name="group"/>
    <tableColumn id="3" xr3:uid="{E2680C1B-2E8E-4C6F-AD72-47C549115DA1}" name="shift"/>
    <tableColumn id="4" xr3:uid="{28249056-3A9C-4139-AC56-1BAD0FED81CF}" name="specimen"/>
    <tableColumn id="5" xr3:uid="{00E396B0-D797-461B-AD55-B77552CC9A47}" name="true state" dataDxfId="3">
      <calculatedColumnFormula>VLOOKUP(Table1[[#This Row],[specimen]],reference!$G$2:$H$17,2,FALSE)</calculatedColumnFormula>
    </tableColumn>
    <tableColumn id="6" xr3:uid="{0BFD7371-86F0-493F-B357-E3C7A6DF3E21}" name="block"/>
    <tableColumn id="7" xr3:uid="{E9786720-0363-4922-9A6E-A4094B0BB67D}" name="trial"/>
    <tableColumn id="8" xr3:uid="{0852E963-D4E3-490F-BABB-F89B856DD749}" name="one" dataDxfId="2"/>
    <tableColumn id="9" xr3:uid="{91D65C3D-C4A9-4149-8E20-67774F1E5198}" name="rank_order" dataDxfId="1">
      <calculatedColumnFormula>VLOOKUP(Table1[[#This Row],[block]], 'pivot1 test order'!$R$5:$V$14, 5, FALSE)</calculatedColumnFormula>
    </tableColumn>
    <tableColumn id="12" xr3:uid="{87038FB9-BDBA-4FFF-BF7C-32B85660DAED}" name="trial label" dataDxfId="0"/>
    <tableColumn id="10" xr3:uid="{5F5FF3B8-842B-4B20-B093-DBAF54BB3264}" name="trial resul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showGridLines="0" workbookViewId="0"/>
  </sheetViews>
  <sheetFormatPr defaultRowHeight="15" x14ac:dyDescent="0.2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9A802-E407-4D9F-9D9E-0ACD4B2E4FD2}">
  <dimension ref="A1:L17"/>
  <sheetViews>
    <sheetView workbookViewId="0">
      <selection activeCell="D8" sqref="D8"/>
    </sheetView>
  </sheetViews>
  <sheetFormatPr defaultRowHeight="15" x14ac:dyDescent="0.25"/>
  <cols>
    <col min="1" max="1" width="14.140625" customWidth="1"/>
    <col min="4" max="4" width="14.5703125" customWidth="1"/>
    <col min="7" max="7" width="13.28515625" customWidth="1"/>
    <col min="8" max="8" width="12.7109375" customWidth="1"/>
    <col min="9" max="9" width="11.85546875" customWidth="1"/>
    <col min="11" max="11" width="13.140625" bestFit="1" customWidth="1"/>
    <col min="12" max="12" width="17.85546875" bestFit="1" customWidth="1"/>
  </cols>
  <sheetData>
    <row r="1" spans="1:12" x14ac:dyDescent="0.25">
      <c r="A1" s="11" t="s">
        <v>0</v>
      </c>
      <c r="B1" s="11" t="s">
        <v>1</v>
      </c>
      <c r="C1" s="11" t="s">
        <v>4</v>
      </c>
      <c r="D1" s="11" t="s">
        <v>112</v>
      </c>
      <c r="G1" s="11" t="s">
        <v>12</v>
      </c>
      <c r="H1" s="11" t="s">
        <v>13</v>
      </c>
    </row>
    <row r="2" spans="1:12" x14ac:dyDescent="0.25">
      <c r="A2" t="s">
        <v>2</v>
      </c>
      <c r="B2" t="s">
        <v>7</v>
      </c>
      <c r="C2" t="s">
        <v>14</v>
      </c>
      <c r="D2" t="s">
        <v>113</v>
      </c>
      <c r="G2" t="s">
        <v>18</v>
      </c>
      <c r="H2" t="s">
        <v>17</v>
      </c>
      <c r="K2" s="2" t="s">
        <v>35</v>
      </c>
      <c r="L2" t="s">
        <v>34</v>
      </c>
    </row>
    <row r="3" spans="1:12" x14ac:dyDescent="0.25">
      <c r="A3" t="s">
        <v>3</v>
      </c>
      <c r="B3" t="s">
        <v>7</v>
      </c>
      <c r="C3" t="s">
        <v>15</v>
      </c>
      <c r="D3" t="s">
        <v>117</v>
      </c>
      <c r="G3" t="s">
        <v>19</v>
      </c>
      <c r="H3" t="s">
        <v>16</v>
      </c>
      <c r="K3" s="3" t="s">
        <v>17</v>
      </c>
      <c r="L3" s="1">
        <v>7</v>
      </c>
    </row>
    <row r="4" spans="1:12" x14ac:dyDescent="0.25">
      <c r="A4" t="s">
        <v>9</v>
      </c>
      <c r="B4" t="s">
        <v>8</v>
      </c>
      <c r="C4" t="s">
        <v>14</v>
      </c>
      <c r="D4" t="s">
        <v>114</v>
      </c>
      <c r="G4" t="s">
        <v>20</v>
      </c>
      <c r="H4" t="s">
        <v>17</v>
      </c>
      <c r="K4" s="3" t="s">
        <v>16</v>
      </c>
      <c r="L4" s="1">
        <v>9</v>
      </c>
    </row>
    <row r="5" spans="1:12" x14ac:dyDescent="0.25">
      <c r="A5" t="s">
        <v>10</v>
      </c>
      <c r="B5" t="s">
        <v>8</v>
      </c>
      <c r="C5" t="s">
        <v>14</v>
      </c>
      <c r="D5" t="s">
        <v>115</v>
      </c>
      <c r="G5" t="s">
        <v>21</v>
      </c>
      <c r="H5" t="s">
        <v>16</v>
      </c>
      <c r="K5" s="3" t="s">
        <v>36</v>
      </c>
      <c r="L5" s="1">
        <v>16</v>
      </c>
    </row>
    <row r="6" spans="1:12" x14ac:dyDescent="0.25">
      <c r="A6" t="s">
        <v>11</v>
      </c>
      <c r="B6" t="s">
        <v>8</v>
      </c>
      <c r="C6" t="s">
        <v>15</v>
      </c>
      <c r="D6" t="s">
        <v>116</v>
      </c>
      <c r="G6" t="s">
        <v>22</v>
      </c>
      <c r="H6" t="s">
        <v>17</v>
      </c>
    </row>
    <row r="7" spans="1:12" x14ac:dyDescent="0.25">
      <c r="G7" t="s">
        <v>23</v>
      </c>
      <c r="H7" t="s">
        <v>16</v>
      </c>
    </row>
    <row r="8" spans="1:12" x14ac:dyDescent="0.25">
      <c r="G8" t="s">
        <v>24</v>
      </c>
      <c r="H8" t="s">
        <v>16</v>
      </c>
    </row>
    <row r="9" spans="1:12" x14ac:dyDescent="0.25">
      <c r="G9" t="s">
        <v>25</v>
      </c>
      <c r="H9" t="s">
        <v>16</v>
      </c>
    </row>
    <row r="10" spans="1:12" x14ac:dyDescent="0.25">
      <c r="G10" t="s">
        <v>26</v>
      </c>
      <c r="H10" t="s">
        <v>17</v>
      </c>
    </row>
    <row r="11" spans="1:12" x14ac:dyDescent="0.25">
      <c r="G11" t="s">
        <v>27</v>
      </c>
      <c r="H11" t="s">
        <v>16</v>
      </c>
    </row>
    <row r="12" spans="1:12" x14ac:dyDescent="0.25">
      <c r="G12" t="s">
        <v>28</v>
      </c>
      <c r="H12" t="s">
        <v>16</v>
      </c>
    </row>
    <row r="13" spans="1:12" x14ac:dyDescent="0.25">
      <c r="G13" t="s">
        <v>29</v>
      </c>
      <c r="H13" t="s">
        <v>17</v>
      </c>
    </row>
    <row r="14" spans="1:12" x14ac:dyDescent="0.25">
      <c r="G14" t="s">
        <v>30</v>
      </c>
      <c r="H14" t="s">
        <v>16</v>
      </c>
    </row>
    <row r="15" spans="1:12" x14ac:dyDescent="0.25">
      <c r="G15" t="s">
        <v>31</v>
      </c>
      <c r="H15" t="s">
        <v>17</v>
      </c>
    </row>
    <row r="16" spans="1:12" x14ac:dyDescent="0.25">
      <c r="G16" t="s">
        <v>32</v>
      </c>
      <c r="H16" t="s">
        <v>16</v>
      </c>
    </row>
    <row r="17" spans="7:8" x14ac:dyDescent="0.25">
      <c r="G17" t="s">
        <v>33</v>
      </c>
      <c r="H17" t="s">
        <v>17</v>
      </c>
    </row>
  </sheetData>
  <phoneticPr fontId="1" type="noConversion"/>
  <conditionalFormatting sqref="H1:H1048576">
    <cfRule type="cellIs" dxfId="5" priority="1" operator="equal">
      <formula>"conform"</formula>
    </cfRule>
    <cfRule type="cellIs" dxfId="4" priority="2" operator="equal">
      <formula>"nonconform"</formula>
    </cfRule>
  </conditionalFormatting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AB3C0-7F6E-4995-8442-54DACCF3F12B}">
  <dimension ref="A1:K241"/>
  <sheetViews>
    <sheetView workbookViewId="0">
      <pane ySplit="1" topLeftCell="A2" activePane="bottomLeft" state="frozen"/>
      <selection pane="bottomLeft" activeCell="J209" sqref="J209"/>
    </sheetView>
  </sheetViews>
  <sheetFormatPr defaultRowHeight="15" x14ac:dyDescent="0.25"/>
  <cols>
    <col min="1" max="1" width="14.140625" customWidth="1"/>
    <col min="4" max="4" width="11.7109375" customWidth="1"/>
    <col min="5" max="5" width="17.140625" customWidth="1"/>
    <col min="6" max="6" width="11.140625" customWidth="1"/>
    <col min="8" max="8" width="9.140625" style="4"/>
    <col min="9" max="9" width="13" style="4" bestFit="1" customWidth="1"/>
    <col min="10" max="10" width="13" style="4" customWidth="1"/>
    <col min="11" max="11" width="13.140625" bestFit="1" customWidth="1"/>
  </cols>
  <sheetData>
    <row r="1" spans="1:11" x14ac:dyDescent="0.25">
      <c r="A1" t="s">
        <v>0</v>
      </c>
      <c r="B1" t="s">
        <v>1</v>
      </c>
      <c r="C1" t="s">
        <v>4</v>
      </c>
      <c r="D1" t="s">
        <v>12</v>
      </c>
      <c r="E1" t="s">
        <v>13</v>
      </c>
      <c r="F1" t="s">
        <v>37</v>
      </c>
      <c r="G1" t="s">
        <v>48</v>
      </c>
      <c r="H1" s="4" t="s">
        <v>53</v>
      </c>
      <c r="I1" s="4" t="s">
        <v>56</v>
      </c>
      <c r="J1" s="4" t="s">
        <v>62</v>
      </c>
      <c r="K1" t="s">
        <v>63</v>
      </c>
    </row>
    <row r="2" spans="1:11" x14ac:dyDescent="0.25">
      <c r="A2" t="s">
        <v>2</v>
      </c>
      <c r="B2" t="s">
        <v>7</v>
      </c>
      <c r="C2" t="s">
        <v>5</v>
      </c>
      <c r="D2" t="s">
        <v>18</v>
      </c>
      <c r="E2" t="str">
        <f>VLOOKUP(Table1[[#This Row],[specimen]],reference!$G$2:$H$17,2,FALSE)</f>
        <v>conform</v>
      </c>
      <c r="F2" t="s">
        <v>100</v>
      </c>
      <c r="G2" t="s">
        <v>49</v>
      </c>
      <c r="H2" s="4">
        <v>1</v>
      </c>
      <c r="I2" s="4">
        <f>VLOOKUP(Table1[[#This Row],[block]], 'pivot1 test order'!$R$5:$V$14, 5, FALSE)</f>
        <v>4</v>
      </c>
      <c r="J2" s="4" t="s">
        <v>18</v>
      </c>
      <c r="K2" t="s">
        <v>17</v>
      </c>
    </row>
    <row r="3" spans="1:11" x14ac:dyDescent="0.25">
      <c r="A3" t="s">
        <v>2</v>
      </c>
      <c r="B3" t="s">
        <v>7</v>
      </c>
      <c r="C3" t="s">
        <v>5</v>
      </c>
      <c r="D3" t="s">
        <v>19</v>
      </c>
      <c r="E3" t="str">
        <f>VLOOKUP(Table1[[#This Row],[specimen]],reference!$G$2:$H$17,2,FALSE)</f>
        <v>nonconform</v>
      </c>
      <c r="F3" t="s">
        <v>100</v>
      </c>
      <c r="G3" t="s">
        <v>49</v>
      </c>
      <c r="H3" s="4">
        <v>1</v>
      </c>
      <c r="I3" s="4">
        <f>VLOOKUP(Table1[[#This Row],[block]], 'pivot1 test order'!$R$5:$V$14, 5, FALSE)</f>
        <v>4</v>
      </c>
      <c r="J3" s="4" t="s">
        <v>19</v>
      </c>
      <c r="K3" t="s">
        <v>16</v>
      </c>
    </row>
    <row r="4" spans="1:11" x14ac:dyDescent="0.25">
      <c r="A4" t="s">
        <v>2</v>
      </c>
      <c r="B4" t="s">
        <v>7</v>
      </c>
      <c r="C4" t="s">
        <v>5</v>
      </c>
      <c r="D4" t="s">
        <v>20</v>
      </c>
      <c r="E4" t="str">
        <f>VLOOKUP(Table1[[#This Row],[specimen]],reference!$G$2:$H$17,2,FALSE)</f>
        <v>conform</v>
      </c>
      <c r="F4" t="s">
        <v>100</v>
      </c>
      <c r="G4" t="s">
        <v>49</v>
      </c>
      <c r="H4" s="4">
        <v>1</v>
      </c>
      <c r="I4" s="4">
        <f>VLOOKUP(Table1[[#This Row],[block]], 'pivot1 test order'!$R$5:$V$14, 5, FALSE)</f>
        <v>4</v>
      </c>
      <c r="J4" s="4" t="s">
        <v>20</v>
      </c>
      <c r="K4" t="s">
        <v>17</v>
      </c>
    </row>
    <row r="5" spans="1:11" x14ac:dyDescent="0.25">
      <c r="A5" t="s">
        <v>2</v>
      </c>
      <c r="B5" t="s">
        <v>7</v>
      </c>
      <c r="C5" t="s">
        <v>5</v>
      </c>
      <c r="D5" t="s">
        <v>21</v>
      </c>
      <c r="E5" t="str">
        <f>VLOOKUP(Table1[[#This Row],[specimen]],reference!$G$2:$H$17,2,FALSE)</f>
        <v>nonconform</v>
      </c>
      <c r="F5" t="s">
        <v>100</v>
      </c>
      <c r="G5" t="s">
        <v>49</v>
      </c>
      <c r="H5" s="4">
        <v>1</v>
      </c>
      <c r="I5" s="4">
        <f>VLOOKUP(Table1[[#This Row],[block]], 'pivot1 test order'!$R$5:$V$14, 5, FALSE)</f>
        <v>4</v>
      </c>
      <c r="J5" s="4" t="s">
        <v>21</v>
      </c>
      <c r="K5" t="s">
        <v>16</v>
      </c>
    </row>
    <row r="6" spans="1:11" x14ac:dyDescent="0.25">
      <c r="A6" t="s">
        <v>2</v>
      </c>
      <c r="B6" t="s">
        <v>7</v>
      </c>
      <c r="C6" t="s">
        <v>5</v>
      </c>
      <c r="D6" t="s">
        <v>22</v>
      </c>
      <c r="E6" t="str">
        <f>VLOOKUP(Table1[[#This Row],[specimen]],reference!$G$2:$H$17,2,FALSE)</f>
        <v>conform</v>
      </c>
      <c r="F6" t="s">
        <v>100</v>
      </c>
      <c r="G6" t="s">
        <v>49</v>
      </c>
      <c r="H6" s="4">
        <v>1</v>
      </c>
      <c r="I6" s="4">
        <f>VLOOKUP(Table1[[#This Row],[block]], 'pivot1 test order'!$R$5:$V$14, 5, FALSE)</f>
        <v>4</v>
      </c>
      <c r="J6" s="4" t="s">
        <v>22</v>
      </c>
      <c r="K6" t="s">
        <v>17</v>
      </c>
    </row>
    <row r="7" spans="1:11" x14ac:dyDescent="0.25">
      <c r="A7" t="s">
        <v>2</v>
      </c>
      <c r="B7" t="s">
        <v>7</v>
      </c>
      <c r="C7" t="s">
        <v>5</v>
      </c>
      <c r="D7" t="s">
        <v>23</v>
      </c>
      <c r="E7" t="str">
        <f>VLOOKUP(Table1[[#This Row],[specimen]],reference!$G$2:$H$17,2,FALSE)</f>
        <v>nonconform</v>
      </c>
      <c r="F7" t="s">
        <v>100</v>
      </c>
      <c r="G7" t="s">
        <v>49</v>
      </c>
      <c r="H7" s="4">
        <v>1</v>
      </c>
      <c r="I7" s="4">
        <f>VLOOKUP(Table1[[#This Row],[block]], 'pivot1 test order'!$R$5:$V$14, 5, FALSE)</f>
        <v>4</v>
      </c>
      <c r="J7" s="4" t="s">
        <v>23</v>
      </c>
      <c r="K7" t="s">
        <v>16</v>
      </c>
    </row>
    <row r="8" spans="1:11" x14ac:dyDescent="0.25">
      <c r="A8" t="s">
        <v>2</v>
      </c>
      <c r="B8" t="s">
        <v>7</v>
      </c>
      <c r="C8" t="s">
        <v>5</v>
      </c>
      <c r="D8" t="s">
        <v>24</v>
      </c>
      <c r="E8" t="str">
        <f>VLOOKUP(Table1[[#This Row],[specimen]],reference!$G$2:$H$17,2,FALSE)</f>
        <v>nonconform</v>
      </c>
      <c r="F8" t="s">
        <v>100</v>
      </c>
      <c r="G8" t="s">
        <v>49</v>
      </c>
      <c r="H8" s="4">
        <v>1</v>
      </c>
      <c r="I8" s="4">
        <f>VLOOKUP(Table1[[#This Row],[block]], 'pivot1 test order'!$R$5:$V$14, 5, FALSE)</f>
        <v>4</v>
      </c>
      <c r="J8" s="4" t="s">
        <v>24</v>
      </c>
      <c r="K8" t="s">
        <v>16</v>
      </c>
    </row>
    <row r="9" spans="1:11" x14ac:dyDescent="0.25">
      <c r="A9" t="s">
        <v>2</v>
      </c>
      <c r="B9" t="s">
        <v>7</v>
      </c>
      <c r="C9" t="s">
        <v>5</v>
      </c>
      <c r="D9" t="s">
        <v>25</v>
      </c>
      <c r="E9" t="str">
        <f>VLOOKUP(Table1[[#This Row],[specimen]],reference!$G$2:$H$17,2,FALSE)</f>
        <v>nonconform</v>
      </c>
      <c r="F9" t="s">
        <v>100</v>
      </c>
      <c r="G9" t="s">
        <v>49</v>
      </c>
      <c r="H9" s="4">
        <v>1</v>
      </c>
      <c r="I9" s="4">
        <f>VLOOKUP(Table1[[#This Row],[block]], 'pivot1 test order'!$R$5:$V$14, 5, FALSE)</f>
        <v>4</v>
      </c>
      <c r="J9" s="4" t="s">
        <v>25</v>
      </c>
      <c r="K9" t="s">
        <v>16</v>
      </c>
    </row>
    <row r="10" spans="1:11" x14ac:dyDescent="0.25">
      <c r="A10" t="s">
        <v>2</v>
      </c>
      <c r="B10" t="s">
        <v>7</v>
      </c>
      <c r="C10" t="s">
        <v>5</v>
      </c>
      <c r="D10" t="s">
        <v>26</v>
      </c>
      <c r="E10" t="str">
        <f>VLOOKUP(Table1[[#This Row],[specimen]],reference!$G$2:$H$17,2,FALSE)</f>
        <v>conform</v>
      </c>
      <c r="F10" t="s">
        <v>101</v>
      </c>
      <c r="G10" t="s">
        <v>49</v>
      </c>
      <c r="H10" s="4">
        <v>1</v>
      </c>
      <c r="I10" s="4">
        <f>VLOOKUP(Table1[[#This Row],[block]], 'pivot1 test order'!$R$5:$V$14, 5, FALSE)</f>
        <v>1</v>
      </c>
      <c r="J10" s="4" t="s">
        <v>26</v>
      </c>
      <c r="K10" t="s">
        <v>17</v>
      </c>
    </row>
    <row r="11" spans="1:11" x14ac:dyDescent="0.25">
      <c r="A11" t="s">
        <v>2</v>
      </c>
      <c r="B11" t="s">
        <v>7</v>
      </c>
      <c r="C11" t="s">
        <v>5</v>
      </c>
      <c r="D11" t="s">
        <v>27</v>
      </c>
      <c r="E11" t="str">
        <f>VLOOKUP(Table1[[#This Row],[specimen]],reference!$G$2:$H$17,2,FALSE)</f>
        <v>nonconform</v>
      </c>
      <c r="F11" t="s">
        <v>101</v>
      </c>
      <c r="G11" t="s">
        <v>49</v>
      </c>
      <c r="H11" s="4">
        <v>1</v>
      </c>
      <c r="I11" s="4">
        <f>VLOOKUP(Table1[[#This Row],[block]], 'pivot1 test order'!$R$5:$V$14, 5, FALSE)</f>
        <v>1</v>
      </c>
      <c r="J11" s="4" t="s">
        <v>27</v>
      </c>
      <c r="K11" t="s">
        <v>16</v>
      </c>
    </row>
    <row r="12" spans="1:11" x14ac:dyDescent="0.25">
      <c r="A12" t="s">
        <v>2</v>
      </c>
      <c r="B12" t="s">
        <v>7</v>
      </c>
      <c r="C12" t="s">
        <v>5</v>
      </c>
      <c r="D12" t="s">
        <v>28</v>
      </c>
      <c r="E12" t="str">
        <f>VLOOKUP(Table1[[#This Row],[specimen]],reference!$G$2:$H$17,2,FALSE)</f>
        <v>nonconform</v>
      </c>
      <c r="F12" t="s">
        <v>101</v>
      </c>
      <c r="G12" t="s">
        <v>49</v>
      </c>
      <c r="H12" s="4">
        <v>1</v>
      </c>
      <c r="I12" s="4">
        <f>VLOOKUP(Table1[[#This Row],[block]], 'pivot1 test order'!$R$5:$V$14, 5, FALSE)</f>
        <v>1</v>
      </c>
      <c r="J12" s="4" t="s">
        <v>28</v>
      </c>
      <c r="K12" t="s">
        <v>16</v>
      </c>
    </row>
    <row r="13" spans="1:11" x14ac:dyDescent="0.25">
      <c r="A13" t="s">
        <v>2</v>
      </c>
      <c r="B13" t="s">
        <v>7</v>
      </c>
      <c r="C13" t="s">
        <v>5</v>
      </c>
      <c r="D13" t="s">
        <v>29</v>
      </c>
      <c r="E13" t="str">
        <f>VLOOKUP(Table1[[#This Row],[specimen]],reference!$G$2:$H$17,2,FALSE)</f>
        <v>conform</v>
      </c>
      <c r="F13" t="s">
        <v>101</v>
      </c>
      <c r="G13" t="s">
        <v>49</v>
      </c>
      <c r="H13" s="4">
        <v>1</v>
      </c>
      <c r="I13" s="4">
        <f>VLOOKUP(Table1[[#This Row],[block]], 'pivot1 test order'!$R$5:$V$14, 5, FALSE)</f>
        <v>1</v>
      </c>
      <c r="J13" s="4" t="s">
        <v>29</v>
      </c>
      <c r="K13" t="s">
        <v>17</v>
      </c>
    </row>
    <row r="14" spans="1:11" x14ac:dyDescent="0.25">
      <c r="A14" t="s">
        <v>2</v>
      </c>
      <c r="B14" t="s">
        <v>7</v>
      </c>
      <c r="C14" t="s">
        <v>5</v>
      </c>
      <c r="D14" t="s">
        <v>30</v>
      </c>
      <c r="E14" t="str">
        <f>VLOOKUP(Table1[[#This Row],[specimen]],reference!$G$2:$H$17,2,FALSE)</f>
        <v>nonconform</v>
      </c>
      <c r="F14" t="s">
        <v>101</v>
      </c>
      <c r="G14" t="s">
        <v>49</v>
      </c>
      <c r="H14" s="4">
        <v>1</v>
      </c>
      <c r="I14" s="4">
        <f>VLOOKUP(Table1[[#This Row],[block]], 'pivot1 test order'!$R$5:$V$14, 5, FALSE)</f>
        <v>1</v>
      </c>
      <c r="J14" s="4" t="s">
        <v>30</v>
      </c>
      <c r="K14" t="s">
        <v>17</v>
      </c>
    </row>
    <row r="15" spans="1:11" x14ac:dyDescent="0.25">
      <c r="A15" t="s">
        <v>2</v>
      </c>
      <c r="B15" t="s">
        <v>7</v>
      </c>
      <c r="C15" t="s">
        <v>5</v>
      </c>
      <c r="D15" t="s">
        <v>31</v>
      </c>
      <c r="E15" t="str">
        <f>VLOOKUP(Table1[[#This Row],[specimen]],reference!$G$2:$H$17,2,FALSE)</f>
        <v>conform</v>
      </c>
      <c r="F15" t="s">
        <v>101</v>
      </c>
      <c r="G15" t="s">
        <v>49</v>
      </c>
      <c r="H15" s="4">
        <v>1</v>
      </c>
      <c r="I15" s="4">
        <f>VLOOKUP(Table1[[#This Row],[block]], 'pivot1 test order'!$R$5:$V$14, 5, FALSE)</f>
        <v>1</v>
      </c>
      <c r="J15" s="4" t="s">
        <v>31</v>
      </c>
      <c r="K15" t="s">
        <v>17</v>
      </c>
    </row>
    <row r="16" spans="1:11" x14ac:dyDescent="0.25">
      <c r="A16" t="s">
        <v>2</v>
      </c>
      <c r="B16" t="s">
        <v>7</v>
      </c>
      <c r="C16" t="s">
        <v>5</v>
      </c>
      <c r="D16" t="s">
        <v>32</v>
      </c>
      <c r="E16" t="str">
        <f>VLOOKUP(Table1[[#This Row],[specimen]],reference!$G$2:$H$17,2,FALSE)</f>
        <v>nonconform</v>
      </c>
      <c r="F16" t="s">
        <v>101</v>
      </c>
      <c r="G16" t="s">
        <v>49</v>
      </c>
      <c r="H16" s="4">
        <v>1</v>
      </c>
      <c r="I16" s="4">
        <f>VLOOKUP(Table1[[#This Row],[block]], 'pivot1 test order'!$R$5:$V$14, 5, FALSE)</f>
        <v>1</v>
      </c>
      <c r="J16" s="4" t="s">
        <v>32</v>
      </c>
      <c r="K16" t="s">
        <v>16</v>
      </c>
    </row>
    <row r="17" spans="1:11" x14ac:dyDescent="0.25">
      <c r="A17" t="s">
        <v>2</v>
      </c>
      <c r="B17" t="s">
        <v>7</v>
      </c>
      <c r="C17" t="s">
        <v>5</v>
      </c>
      <c r="D17" t="s">
        <v>33</v>
      </c>
      <c r="E17" t="str">
        <f>VLOOKUP(Table1[[#This Row],[specimen]],reference!$G$2:$H$17,2,FALSE)</f>
        <v>conform</v>
      </c>
      <c r="F17" t="s">
        <v>101</v>
      </c>
      <c r="G17" t="s">
        <v>49</v>
      </c>
      <c r="H17" s="4">
        <v>1</v>
      </c>
      <c r="I17" s="4">
        <f>VLOOKUP(Table1[[#This Row],[block]], 'pivot1 test order'!$R$5:$V$14, 5, FALSE)</f>
        <v>1</v>
      </c>
      <c r="J17" s="4" t="s">
        <v>33</v>
      </c>
      <c r="K17" t="s">
        <v>17</v>
      </c>
    </row>
    <row r="18" spans="1:11" x14ac:dyDescent="0.25">
      <c r="A18" t="s">
        <v>3</v>
      </c>
      <c r="B18" t="s">
        <v>7</v>
      </c>
      <c r="C18" t="s">
        <v>6</v>
      </c>
      <c r="D18" t="s">
        <v>18</v>
      </c>
      <c r="E18" t="str">
        <f>VLOOKUP(Table1[[#This Row],[specimen]],reference!$G$2:$H$17,2,FALSE)</f>
        <v>conform</v>
      </c>
      <c r="F18" t="s">
        <v>102</v>
      </c>
      <c r="G18" t="s">
        <v>49</v>
      </c>
      <c r="H18" s="4">
        <v>1</v>
      </c>
      <c r="I18" s="4">
        <f>VLOOKUP(Table1[[#This Row],[block]], 'pivot1 test order'!$R$5:$V$14, 5, FALSE)</f>
        <v>3</v>
      </c>
      <c r="J18" s="4" t="s">
        <v>18</v>
      </c>
      <c r="K18" t="s">
        <v>17</v>
      </c>
    </row>
    <row r="19" spans="1:11" x14ac:dyDescent="0.25">
      <c r="A19" t="s">
        <v>3</v>
      </c>
      <c r="B19" t="s">
        <v>7</v>
      </c>
      <c r="C19" t="s">
        <v>6</v>
      </c>
      <c r="D19" t="s">
        <v>19</v>
      </c>
      <c r="E19" t="str">
        <f>VLOOKUP(Table1[[#This Row],[specimen]],reference!$G$2:$H$17,2,FALSE)</f>
        <v>nonconform</v>
      </c>
      <c r="F19" t="s">
        <v>102</v>
      </c>
      <c r="G19" t="s">
        <v>49</v>
      </c>
      <c r="H19" s="4">
        <v>1</v>
      </c>
      <c r="I19" s="4">
        <f>VLOOKUP(Table1[[#This Row],[block]], 'pivot1 test order'!$R$5:$V$14, 5, FALSE)</f>
        <v>3</v>
      </c>
      <c r="J19" s="4" t="s">
        <v>19</v>
      </c>
      <c r="K19" t="s">
        <v>16</v>
      </c>
    </row>
    <row r="20" spans="1:11" x14ac:dyDescent="0.25">
      <c r="A20" t="s">
        <v>3</v>
      </c>
      <c r="B20" t="s">
        <v>7</v>
      </c>
      <c r="C20" t="s">
        <v>6</v>
      </c>
      <c r="D20" t="s">
        <v>20</v>
      </c>
      <c r="E20" t="str">
        <f>VLOOKUP(Table1[[#This Row],[specimen]],reference!$G$2:$H$17,2,FALSE)</f>
        <v>conform</v>
      </c>
      <c r="F20" t="s">
        <v>102</v>
      </c>
      <c r="G20" t="s">
        <v>49</v>
      </c>
      <c r="H20" s="4">
        <v>1</v>
      </c>
      <c r="I20" s="4">
        <f>VLOOKUP(Table1[[#This Row],[block]], 'pivot1 test order'!$R$5:$V$14, 5, FALSE)</f>
        <v>3</v>
      </c>
      <c r="J20" s="4" t="s">
        <v>20</v>
      </c>
      <c r="K20" t="s">
        <v>17</v>
      </c>
    </row>
    <row r="21" spans="1:11" x14ac:dyDescent="0.25">
      <c r="A21" t="s">
        <v>3</v>
      </c>
      <c r="B21" t="s">
        <v>7</v>
      </c>
      <c r="C21" t="s">
        <v>6</v>
      </c>
      <c r="D21" t="s">
        <v>21</v>
      </c>
      <c r="E21" t="str">
        <f>VLOOKUP(Table1[[#This Row],[specimen]],reference!$G$2:$H$17,2,FALSE)</f>
        <v>nonconform</v>
      </c>
      <c r="F21" t="s">
        <v>102</v>
      </c>
      <c r="G21" t="s">
        <v>49</v>
      </c>
      <c r="H21" s="4">
        <v>1</v>
      </c>
      <c r="I21" s="4">
        <f>VLOOKUP(Table1[[#This Row],[block]], 'pivot1 test order'!$R$5:$V$14, 5, FALSE)</f>
        <v>3</v>
      </c>
      <c r="J21" s="4" t="s">
        <v>21</v>
      </c>
      <c r="K21" t="s">
        <v>16</v>
      </c>
    </row>
    <row r="22" spans="1:11" x14ac:dyDescent="0.25">
      <c r="A22" t="s">
        <v>3</v>
      </c>
      <c r="B22" t="s">
        <v>7</v>
      </c>
      <c r="C22" t="s">
        <v>6</v>
      </c>
      <c r="D22" t="s">
        <v>22</v>
      </c>
      <c r="E22" t="str">
        <f>VLOOKUP(Table1[[#This Row],[specimen]],reference!$G$2:$H$17,2,FALSE)</f>
        <v>conform</v>
      </c>
      <c r="F22" t="s">
        <v>102</v>
      </c>
      <c r="G22" t="s">
        <v>49</v>
      </c>
      <c r="H22" s="4">
        <v>1</v>
      </c>
      <c r="I22" s="4">
        <f>VLOOKUP(Table1[[#This Row],[block]], 'pivot1 test order'!$R$5:$V$14, 5, FALSE)</f>
        <v>3</v>
      </c>
      <c r="J22" s="4" t="s">
        <v>22</v>
      </c>
      <c r="K22" t="s">
        <v>17</v>
      </c>
    </row>
    <row r="23" spans="1:11" x14ac:dyDescent="0.25">
      <c r="A23" t="s">
        <v>3</v>
      </c>
      <c r="B23" t="s">
        <v>7</v>
      </c>
      <c r="C23" t="s">
        <v>6</v>
      </c>
      <c r="D23" t="s">
        <v>23</v>
      </c>
      <c r="E23" t="str">
        <f>VLOOKUP(Table1[[#This Row],[specimen]],reference!$G$2:$H$17,2,FALSE)</f>
        <v>nonconform</v>
      </c>
      <c r="F23" t="s">
        <v>102</v>
      </c>
      <c r="G23" t="s">
        <v>49</v>
      </c>
      <c r="H23" s="4">
        <v>1</v>
      </c>
      <c r="I23" s="4">
        <f>VLOOKUP(Table1[[#This Row],[block]], 'pivot1 test order'!$R$5:$V$14, 5, FALSE)</f>
        <v>3</v>
      </c>
      <c r="J23" s="4" t="s">
        <v>23</v>
      </c>
      <c r="K23" t="s">
        <v>16</v>
      </c>
    </row>
    <row r="24" spans="1:11" x14ac:dyDescent="0.25">
      <c r="A24" t="s">
        <v>3</v>
      </c>
      <c r="B24" t="s">
        <v>7</v>
      </c>
      <c r="C24" t="s">
        <v>6</v>
      </c>
      <c r="D24" t="s">
        <v>24</v>
      </c>
      <c r="E24" t="str">
        <f>VLOOKUP(Table1[[#This Row],[specimen]],reference!$G$2:$H$17,2,FALSE)</f>
        <v>nonconform</v>
      </c>
      <c r="F24" t="s">
        <v>102</v>
      </c>
      <c r="G24" t="s">
        <v>49</v>
      </c>
      <c r="H24" s="4">
        <v>1</v>
      </c>
      <c r="I24" s="4">
        <f>VLOOKUP(Table1[[#This Row],[block]], 'pivot1 test order'!$R$5:$V$14, 5, FALSE)</f>
        <v>3</v>
      </c>
      <c r="J24" s="4" t="s">
        <v>24</v>
      </c>
      <c r="K24" t="s">
        <v>16</v>
      </c>
    </row>
    <row r="25" spans="1:11" x14ac:dyDescent="0.25">
      <c r="A25" t="s">
        <v>3</v>
      </c>
      <c r="B25" t="s">
        <v>7</v>
      </c>
      <c r="C25" t="s">
        <v>6</v>
      </c>
      <c r="D25" t="s">
        <v>25</v>
      </c>
      <c r="E25" t="str">
        <f>VLOOKUP(Table1[[#This Row],[specimen]],reference!$G$2:$H$17,2,FALSE)</f>
        <v>nonconform</v>
      </c>
      <c r="F25" t="s">
        <v>102</v>
      </c>
      <c r="G25" t="s">
        <v>49</v>
      </c>
      <c r="H25" s="4">
        <v>1</v>
      </c>
      <c r="I25" s="4">
        <f>VLOOKUP(Table1[[#This Row],[block]], 'pivot1 test order'!$R$5:$V$14, 5, FALSE)</f>
        <v>3</v>
      </c>
      <c r="J25" s="4" t="s">
        <v>25</v>
      </c>
      <c r="K25" t="s">
        <v>17</v>
      </c>
    </row>
    <row r="26" spans="1:11" x14ac:dyDescent="0.25">
      <c r="A26" t="s">
        <v>3</v>
      </c>
      <c r="B26" t="s">
        <v>7</v>
      </c>
      <c r="C26" t="s">
        <v>6</v>
      </c>
      <c r="D26" t="s">
        <v>26</v>
      </c>
      <c r="E26" t="str">
        <f>VLOOKUP(Table1[[#This Row],[specimen]],reference!$G$2:$H$17,2,FALSE)</f>
        <v>conform</v>
      </c>
      <c r="F26" t="s">
        <v>103</v>
      </c>
      <c r="G26" t="s">
        <v>49</v>
      </c>
      <c r="H26" s="4">
        <v>1</v>
      </c>
      <c r="I26" s="4">
        <f>VLOOKUP(Table1[[#This Row],[block]], 'pivot1 test order'!$R$5:$V$14, 5, FALSE)</f>
        <v>2</v>
      </c>
      <c r="J26" s="4" t="s">
        <v>26</v>
      </c>
      <c r="K26" t="s">
        <v>17</v>
      </c>
    </row>
    <row r="27" spans="1:11" x14ac:dyDescent="0.25">
      <c r="A27" t="s">
        <v>3</v>
      </c>
      <c r="B27" t="s">
        <v>7</v>
      </c>
      <c r="C27" t="s">
        <v>6</v>
      </c>
      <c r="D27" t="s">
        <v>27</v>
      </c>
      <c r="E27" t="str">
        <f>VLOOKUP(Table1[[#This Row],[specimen]],reference!$G$2:$H$17,2,FALSE)</f>
        <v>nonconform</v>
      </c>
      <c r="F27" t="s">
        <v>103</v>
      </c>
      <c r="G27" t="s">
        <v>49</v>
      </c>
      <c r="H27" s="4">
        <v>1</v>
      </c>
      <c r="I27" s="4">
        <f>VLOOKUP(Table1[[#This Row],[block]], 'pivot1 test order'!$R$5:$V$14, 5, FALSE)</f>
        <v>2</v>
      </c>
      <c r="J27" s="4" t="s">
        <v>27</v>
      </c>
      <c r="K27" t="s">
        <v>16</v>
      </c>
    </row>
    <row r="28" spans="1:11" x14ac:dyDescent="0.25">
      <c r="A28" t="s">
        <v>3</v>
      </c>
      <c r="B28" t="s">
        <v>7</v>
      </c>
      <c r="C28" t="s">
        <v>6</v>
      </c>
      <c r="D28" t="s">
        <v>28</v>
      </c>
      <c r="E28" t="str">
        <f>VLOOKUP(Table1[[#This Row],[specimen]],reference!$G$2:$H$17,2,FALSE)</f>
        <v>nonconform</v>
      </c>
      <c r="F28" t="s">
        <v>103</v>
      </c>
      <c r="G28" t="s">
        <v>49</v>
      </c>
      <c r="H28" s="4">
        <v>1</v>
      </c>
      <c r="I28" s="4">
        <f>VLOOKUP(Table1[[#This Row],[block]], 'pivot1 test order'!$R$5:$V$14, 5, FALSE)</f>
        <v>2</v>
      </c>
      <c r="J28" s="4" t="s">
        <v>28</v>
      </c>
      <c r="K28" t="s">
        <v>16</v>
      </c>
    </row>
    <row r="29" spans="1:11" x14ac:dyDescent="0.25">
      <c r="A29" t="s">
        <v>3</v>
      </c>
      <c r="B29" t="s">
        <v>7</v>
      </c>
      <c r="C29" t="s">
        <v>6</v>
      </c>
      <c r="D29" t="s">
        <v>29</v>
      </c>
      <c r="E29" t="str">
        <f>VLOOKUP(Table1[[#This Row],[specimen]],reference!$G$2:$H$17,2,FALSE)</f>
        <v>conform</v>
      </c>
      <c r="F29" t="s">
        <v>103</v>
      </c>
      <c r="G29" t="s">
        <v>49</v>
      </c>
      <c r="H29" s="4">
        <v>1</v>
      </c>
      <c r="I29" s="4">
        <f>VLOOKUP(Table1[[#This Row],[block]], 'pivot1 test order'!$R$5:$V$14, 5, FALSE)</f>
        <v>2</v>
      </c>
      <c r="J29" s="4" t="s">
        <v>29</v>
      </c>
      <c r="K29" t="s">
        <v>17</v>
      </c>
    </row>
    <row r="30" spans="1:11" x14ac:dyDescent="0.25">
      <c r="A30" t="s">
        <v>3</v>
      </c>
      <c r="B30" t="s">
        <v>7</v>
      </c>
      <c r="C30" t="s">
        <v>6</v>
      </c>
      <c r="D30" t="s">
        <v>30</v>
      </c>
      <c r="E30" t="str">
        <f>VLOOKUP(Table1[[#This Row],[specimen]],reference!$G$2:$H$17,2,FALSE)</f>
        <v>nonconform</v>
      </c>
      <c r="F30" t="s">
        <v>103</v>
      </c>
      <c r="G30" t="s">
        <v>49</v>
      </c>
      <c r="H30" s="4">
        <v>1</v>
      </c>
      <c r="I30" s="4">
        <f>VLOOKUP(Table1[[#This Row],[block]], 'pivot1 test order'!$R$5:$V$14, 5, FALSE)</f>
        <v>2</v>
      </c>
      <c r="J30" s="4" t="s">
        <v>30</v>
      </c>
      <c r="K30" t="s">
        <v>16</v>
      </c>
    </row>
    <row r="31" spans="1:11" x14ac:dyDescent="0.25">
      <c r="A31" t="s">
        <v>3</v>
      </c>
      <c r="B31" t="s">
        <v>7</v>
      </c>
      <c r="C31" t="s">
        <v>6</v>
      </c>
      <c r="D31" t="s">
        <v>31</v>
      </c>
      <c r="E31" t="str">
        <f>VLOOKUP(Table1[[#This Row],[specimen]],reference!$G$2:$H$17,2,FALSE)</f>
        <v>conform</v>
      </c>
      <c r="F31" t="s">
        <v>103</v>
      </c>
      <c r="G31" t="s">
        <v>49</v>
      </c>
      <c r="H31" s="4">
        <v>1</v>
      </c>
      <c r="I31" s="4">
        <f>VLOOKUP(Table1[[#This Row],[block]], 'pivot1 test order'!$R$5:$V$14, 5, FALSE)</f>
        <v>2</v>
      </c>
      <c r="J31" s="4" t="s">
        <v>31</v>
      </c>
      <c r="K31" t="s">
        <v>17</v>
      </c>
    </row>
    <row r="32" spans="1:11" x14ac:dyDescent="0.25">
      <c r="A32" t="s">
        <v>3</v>
      </c>
      <c r="B32" t="s">
        <v>7</v>
      </c>
      <c r="C32" t="s">
        <v>6</v>
      </c>
      <c r="D32" t="s">
        <v>32</v>
      </c>
      <c r="E32" t="str">
        <f>VLOOKUP(Table1[[#This Row],[specimen]],reference!$G$2:$H$17,2,FALSE)</f>
        <v>nonconform</v>
      </c>
      <c r="F32" t="s">
        <v>103</v>
      </c>
      <c r="G32" t="s">
        <v>49</v>
      </c>
      <c r="H32" s="4">
        <v>1</v>
      </c>
      <c r="I32" s="4">
        <f>VLOOKUP(Table1[[#This Row],[block]], 'pivot1 test order'!$R$5:$V$14, 5, FALSE)</f>
        <v>2</v>
      </c>
      <c r="J32" s="4" t="s">
        <v>32</v>
      </c>
      <c r="K32" t="s">
        <v>16</v>
      </c>
    </row>
    <row r="33" spans="1:11" x14ac:dyDescent="0.25">
      <c r="A33" t="s">
        <v>3</v>
      </c>
      <c r="B33" t="s">
        <v>7</v>
      </c>
      <c r="C33" t="s">
        <v>6</v>
      </c>
      <c r="D33" t="s">
        <v>33</v>
      </c>
      <c r="E33" t="str">
        <f>VLOOKUP(Table1[[#This Row],[specimen]],reference!$G$2:$H$17,2,FALSE)</f>
        <v>conform</v>
      </c>
      <c r="F33" t="s">
        <v>103</v>
      </c>
      <c r="G33" t="s">
        <v>49</v>
      </c>
      <c r="H33" s="4">
        <v>1</v>
      </c>
      <c r="I33" s="4">
        <f>VLOOKUP(Table1[[#This Row],[block]], 'pivot1 test order'!$R$5:$V$14, 5, FALSE)</f>
        <v>2</v>
      </c>
      <c r="J33" s="4" t="s">
        <v>33</v>
      </c>
      <c r="K33" t="s">
        <v>17</v>
      </c>
    </row>
    <row r="34" spans="1:11" x14ac:dyDescent="0.25">
      <c r="A34" t="s">
        <v>9</v>
      </c>
      <c r="B34" t="s">
        <v>8</v>
      </c>
      <c r="C34" t="s">
        <v>5</v>
      </c>
      <c r="D34" t="s">
        <v>18</v>
      </c>
      <c r="E34" t="str">
        <f>VLOOKUP(Table1[[#This Row],[specimen]],reference!$G$2:$H$17,2,FALSE)</f>
        <v>conform</v>
      </c>
      <c r="F34" t="s">
        <v>104</v>
      </c>
      <c r="G34" t="s">
        <v>49</v>
      </c>
      <c r="H34" s="4">
        <v>1</v>
      </c>
      <c r="I34" s="4">
        <f>VLOOKUP(Table1[[#This Row],[block]], 'pivot1 test order'!$R$5:$V$14, 5, FALSE)</f>
        <v>5</v>
      </c>
      <c r="J34" s="4" t="s">
        <v>18</v>
      </c>
      <c r="K34" t="s">
        <v>17</v>
      </c>
    </row>
    <row r="35" spans="1:11" x14ac:dyDescent="0.25">
      <c r="A35" t="s">
        <v>9</v>
      </c>
      <c r="B35" t="s">
        <v>8</v>
      </c>
      <c r="C35" t="s">
        <v>5</v>
      </c>
      <c r="D35" t="s">
        <v>19</v>
      </c>
      <c r="E35" t="str">
        <f>VLOOKUP(Table1[[#This Row],[specimen]],reference!$G$2:$H$17,2,FALSE)</f>
        <v>nonconform</v>
      </c>
      <c r="F35" t="s">
        <v>104</v>
      </c>
      <c r="G35" t="s">
        <v>49</v>
      </c>
      <c r="H35" s="4">
        <v>1</v>
      </c>
      <c r="I35" s="4">
        <f>VLOOKUP(Table1[[#This Row],[block]], 'pivot1 test order'!$R$5:$V$14, 5, FALSE)</f>
        <v>5</v>
      </c>
      <c r="J35" s="4" t="s">
        <v>19</v>
      </c>
      <c r="K35" t="s">
        <v>16</v>
      </c>
    </row>
    <row r="36" spans="1:11" x14ac:dyDescent="0.25">
      <c r="A36" t="s">
        <v>9</v>
      </c>
      <c r="B36" t="s">
        <v>8</v>
      </c>
      <c r="C36" t="s">
        <v>5</v>
      </c>
      <c r="D36" t="s">
        <v>20</v>
      </c>
      <c r="E36" t="str">
        <f>VLOOKUP(Table1[[#This Row],[specimen]],reference!$G$2:$H$17,2,FALSE)</f>
        <v>conform</v>
      </c>
      <c r="F36" t="s">
        <v>104</v>
      </c>
      <c r="G36" t="s">
        <v>49</v>
      </c>
      <c r="H36" s="4">
        <v>1</v>
      </c>
      <c r="I36" s="4">
        <f>VLOOKUP(Table1[[#This Row],[block]], 'pivot1 test order'!$R$5:$V$14, 5, FALSE)</f>
        <v>5</v>
      </c>
      <c r="J36" s="4" t="s">
        <v>20</v>
      </c>
      <c r="K36" t="s">
        <v>17</v>
      </c>
    </row>
    <row r="37" spans="1:11" x14ac:dyDescent="0.25">
      <c r="A37" t="s">
        <v>9</v>
      </c>
      <c r="B37" t="s">
        <v>8</v>
      </c>
      <c r="C37" t="s">
        <v>5</v>
      </c>
      <c r="D37" t="s">
        <v>21</v>
      </c>
      <c r="E37" t="str">
        <f>VLOOKUP(Table1[[#This Row],[specimen]],reference!$G$2:$H$17,2,FALSE)</f>
        <v>nonconform</v>
      </c>
      <c r="F37" t="s">
        <v>104</v>
      </c>
      <c r="G37" t="s">
        <v>49</v>
      </c>
      <c r="H37" s="4">
        <v>1</v>
      </c>
      <c r="I37" s="4">
        <f>VLOOKUP(Table1[[#This Row],[block]], 'pivot1 test order'!$R$5:$V$14, 5, FALSE)</f>
        <v>5</v>
      </c>
      <c r="J37" s="4" t="s">
        <v>21</v>
      </c>
      <c r="K37" t="s">
        <v>16</v>
      </c>
    </row>
    <row r="38" spans="1:11" x14ac:dyDescent="0.25">
      <c r="A38" t="s">
        <v>9</v>
      </c>
      <c r="B38" t="s">
        <v>8</v>
      </c>
      <c r="C38" t="s">
        <v>5</v>
      </c>
      <c r="D38" t="s">
        <v>22</v>
      </c>
      <c r="E38" t="str">
        <f>VLOOKUP(Table1[[#This Row],[specimen]],reference!$G$2:$H$17,2,FALSE)</f>
        <v>conform</v>
      </c>
      <c r="F38" t="s">
        <v>104</v>
      </c>
      <c r="G38" t="s">
        <v>49</v>
      </c>
      <c r="H38" s="4">
        <v>1</v>
      </c>
      <c r="I38" s="4">
        <f>VLOOKUP(Table1[[#This Row],[block]], 'pivot1 test order'!$R$5:$V$14, 5, FALSE)</f>
        <v>5</v>
      </c>
      <c r="J38" s="4" t="s">
        <v>22</v>
      </c>
      <c r="K38" t="s">
        <v>17</v>
      </c>
    </row>
    <row r="39" spans="1:11" x14ac:dyDescent="0.25">
      <c r="A39" t="s">
        <v>9</v>
      </c>
      <c r="B39" t="s">
        <v>8</v>
      </c>
      <c r="C39" t="s">
        <v>5</v>
      </c>
      <c r="D39" t="s">
        <v>23</v>
      </c>
      <c r="E39" t="str">
        <f>VLOOKUP(Table1[[#This Row],[specimen]],reference!$G$2:$H$17,2,FALSE)</f>
        <v>nonconform</v>
      </c>
      <c r="F39" t="s">
        <v>104</v>
      </c>
      <c r="G39" t="s">
        <v>49</v>
      </c>
      <c r="H39" s="4">
        <v>1</v>
      </c>
      <c r="I39" s="4">
        <f>VLOOKUP(Table1[[#This Row],[block]], 'pivot1 test order'!$R$5:$V$14, 5, FALSE)</f>
        <v>5</v>
      </c>
      <c r="J39" s="4" t="s">
        <v>23</v>
      </c>
      <c r="K39" t="s">
        <v>16</v>
      </c>
    </row>
    <row r="40" spans="1:11" x14ac:dyDescent="0.25">
      <c r="A40" t="s">
        <v>9</v>
      </c>
      <c r="B40" t="s">
        <v>8</v>
      </c>
      <c r="C40" t="s">
        <v>5</v>
      </c>
      <c r="D40" t="s">
        <v>24</v>
      </c>
      <c r="E40" t="str">
        <f>VLOOKUP(Table1[[#This Row],[specimen]],reference!$G$2:$H$17,2,FALSE)</f>
        <v>nonconform</v>
      </c>
      <c r="F40" t="s">
        <v>104</v>
      </c>
      <c r="G40" t="s">
        <v>49</v>
      </c>
      <c r="H40" s="4">
        <v>1</v>
      </c>
      <c r="I40" s="4">
        <f>VLOOKUP(Table1[[#This Row],[block]], 'pivot1 test order'!$R$5:$V$14, 5, FALSE)</f>
        <v>5</v>
      </c>
      <c r="J40" s="4" t="s">
        <v>24</v>
      </c>
      <c r="K40" t="s">
        <v>17</v>
      </c>
    </row>
    <row r="41" spans="1:11" x14ac:dyDescent="0.25">
      <c r="A41" t="s">
        <v>9</v>
      </c>
      <c r="B41" t="s">
        <v>8</v>
      </c>
      <c r="C41" t="s">
        <v>5</v>
      </c>
      <c r="D41" t="s">
        <v>25</v>
      </c>
      <c r="E41" t="str">
        <f>VLOOKUP(Table1[[#This Row],[specimen]],reference!$G$2:$H$17,2,FALSE)</f>
        <v>nonconform</v>
      </c>
      <c r="F41" t="s">
        <v>104</v>
      </c>
      <c r="G41" t="s">
        <v>49</v>
      </c>
      <c r="H41" s="4">
        <v>1</v>
      </c>
      <c r="I41" s="4">
        <f>VLOOKUP(Table1[[#This Row],[block]], 'pivot1 test order'!$R$5:$V$14, 5, FALSE)</f>
        <v>5</v>
      </c>
      <c r="J41" s="4" t="s">
        <v>25</v>
      </c>
      <c r="K41" t="s">
        <v>16</v>
      </c>
    </row>
    <row r="42" spans="1:11" x14ac:dyDescent="0.25">
      <c r="A42" t="s">
        <v>9</v>
      </c>
      <c r="B42" t="s">
        <v>8</v>
      </c>
      <c r="C42" t="s">
        <v>5</v>
      </c>
      <c r="D42" t="s">
        <v>26</v>
      </c>
      <c r="E42" t="str">
        <f>VLOOKUP(Table1[[#This Row],[specimen]],reference!$G$2:$H$17,2,FALSE)</f>
        <v>conform</v>
      </c>
      <c r="F42" t="s">
        <v>105</v>
      </c>
      <c r="G42" t="s">
        <v>49</v>
      </c>
      <c r="H42" s="4">
        <v>1</v>
      </c>
      <c r="I42" s="4">
        <f>VLOOKUP(Table1[[#This Row],[block]], 'pivot1 test order'!$R$5:$V$14, 5, FALSE)</f>
        <v>2</v>
      </c>
      <c r="J42" s="4" t="s">
        <v>26</v>
      </c>
      <c r="K42" t="s">
        <v>17</v>
      </c>
    </row>
    <row r="43" spans="1:11" x14ac:dyDescent="0.25">
      <c r="A43" t="s">
        <v>9</v>
      </c>
      <c r="B43" t="s">
        <v>8</v>
      </c>
      <c r="C43" t="s">
        <v>5</v>
      </c>
      <c r="D43" t="s">
        <v>27</v>
      </c>
      <c r="E43" t="str">
        <f>VLOOKUP(Table1[[#This Row],[specimen]],reference!$G$2:$H$17,2,FALSE)</f>
        <v>nonconform</v>
      </c>
      <c r="F43" t="s">
        <v>105</v>
      </c>
      <c r="G43" t="s">
        <v>49</v>
      </c>
      <c r="H43" s="4">
        <v>1</v>
      </c>
      <c r="I43" s="4">
        <f>VLOOKUP(Table1[[#This Row],[block]], 'pivot1 test order'!$R$5:$V$14, 5, FALSE)</f>
        <v>2</v>
      </c>
      <c r="J43" s="4" t="s">
        <v>27</v>
      </c>
      <c r="K43" t="s">
        <v>16</v>
      </c>
    </row>
    <row r="44" spans="1:11" x14ac:dyDescent="0.25">
      <c r="A44" t="s">
        <v>9</v>
      </c>
      <c r="B44" t="s">
        <v>8</v>
      </c>
      <c r="C44" t="s">
        <v>5</v>
      </c>
      <c r="D44" t="s">
        <v>28</v>
      </c>
      <c r="E44" t="str">
        <f>VLOOKUP(Table1[[#This Row],[specimen]],reference!$G$2:$H$17,2,FALSE)</f>
        <v>nonconform</v>
      </c>
      <c r="F44" t="s">
        <v>105</v>
      </c>
      <c r="G44" t="s">
        <v>49</v>
      </c>
      <c r="H44" s="4">
        <v>1</v>
      </c>
      <c r="I44" s="4">
        <f>VLOOKUP(Table1[[#This Row],[block]], 'pivot1 test order'!$R$5:$V$14, 5, FALSE)</f>
        <v>2</v>
      </c>
      <c r="J44" s="4" t="s">
        <v>28</v>
      </c>
      <c r="K44" t="s">
        <v>16</v>
      </c>
    </row>
    <row r="45" spans="1:11" x14ac:dyDescent="0.25">
      <c r="A45" t="s">
        <v>9</v>
      </c>
      <c r="B45" t="s">
        <v>8</v>
      </c>
      <c r="C45" t="s">
        <v>5</v>
      </c>
      <c r="D45" t="s">
        <v>29</v>
      </c>
      <c r="E45" t="str">
        <f>VLOOKUP(Table1[[#This Row],[specimen]],reference!$G$2:$H$17,2,FALSE)</f>
        <v>conform</v>
      </c>
      <c r="F45" t="s">
        <v>105</v>
      </c>
      <c r="G45" t="s">
        <v>49</v>
      </c>
      <c r="H45" s="4">
        <v>1</v>
      </c>
      <c r="I45" s="4">
        <f>VLOOKUP(Table1[[#This Row],[block]], 'pivot1 test order'!$R$5:$V$14, 5, FALSE)</f>
        <v>2</v>
      </c>
      <c r="J45" s="4" t="s">
        <v>29</v>
      </c>
      <c r="K45" t="s">
        <v>16</v>
      </c>
    </row>
    <row r="46" spans="1:11" x14ac:dyDescent="0.25">
      <c r="A46" t="s">
        <v>9</v>
      </c>
      <c r="B46" t="s">
        <v>8</v>
      </c>
      <c r="C46" t="s">
        <v>5</v>
      </c>
      <c r="D46" t="s">
        <v>30</v>
      </c>
      <c r="E46" t="str">
        <f>VLOOKUP(Table1[[#This Row],[specimen]],reference!$G$2:$H$17,2,FALSE)</f>
        <v>nonconform</v>
      </c>
      <c r="F46" t="s">
        <v>105</v>
      </c>
      <c r="G46" t="s">
        <v>49</v>
      </c>
      <c r="H46" s="4">
        <v>1</v>
      </c>
      <c r="I46" s="4">
        <f>VLOOKUP(Table1[[#This Row],[block]], 'pivot1 test order'!$R$5:$V$14, 5, FALSE)</f>
        <v>2</v>
      </c>
      <c r="J46" s="4" t="s">
        <v>30</v>
      </c>
      <c r="K46" t="s">
        <v>16</v>
      </c>
    </row>
    <row r="47" spans="1:11" x14ac:dyDescent="0.25">
      <c r="A47" t="s">
        <v>9</v>
      </c>
      <c r="B47" t="s">
        <v>8</v>
      </c>
      <c r="C47" t="s">
        <v>5</v>
      </c>
      <c r="D47" t="s">
        <v>31</v>
      </c>
      <c r="E47" t="str">
        <f>VLOOKUP(Table1[[#This Row],[specimen]],reference!$G$2:$H$17,2,FALSE)</f>
        <v>conform</v>
      </c>
      <c r="F47" t="s">
        <v>105</v>
      </c>
      <c r="G47" t="s">
        <v>49</v>
      </c>
      <c r="H47" s="4">
        <v>1</v>
      </c>
      <c r="I47" s="4">
        <f>VLOOKUP(Table1[[#This Row],[block]], 'pivot1 test order'!$R$5:$V$14, 5, FALSE)</f>
        <v>2</v>
      </c>
      <c r="J47" s="4" t="s">
        <v>31</v>
      </c>
      <c r="K47" t="s">
        <v>17</v>
      </c>
    </row>
    <row r="48" spans="1:11" x14ac:dyDescent="0.25">
      <c r="A48" t="s">
        <v>9</v>
      </c>
      <c r="B48" t="s">
        <v>8</v>
      </c>
      <c r="C48" t="s">
        <v>5</v>
      </c>
      <c r="D48" t="s">
        <v>32</v>
      </c>
      <c r="E48" t="str">
        <f>VLOOKUP(Table1[[#This Row],[specimen]],reference!$G$2:$H$17,2,FALSE)</f>
        <v>nonconform</v>
      </c>
      <c r="F48" t="s">
        <v>105</v>
      </c>
      <c r="G48" t="s">
        <v>49</v>
      </c>
      <c r="H48" s="4">
        <v>1</v>
      </c>
      <c r="I48" s="4">
        <f>VLOOKUP(Table1[[#This Row],[block]], 'pivot1 test order'!$R$5:$V$14, 5, FALSE)</f>
        <v>2</v>
      </c>
      <c r="J48" s="4" t="s">
        <v>32</v>
      </c>
      <c r="K48" t="s">
        <v>16</v>
      </c>
    </row>
    <row r="49" spans="1:11" x14ac:dyDescent="0.25">
      <c r="A49" t="s">
        <v>9</v>
      </c>
      <c r="B49" t="s">
        <v>8</v>
      </c>
      <c r="C49" t="s">
        <v>5</v>
      </c>
      <c r="D49" t="s">
        <v>33</v>
      </c>
      <c r="E49" t="str">
        <f>VLOOKUP(Table1[[#This Row],[specimen]],reference!$G$2:$H$17,2,FALSE)</f>
        <v>conform</v>
      </c>
      <c r="F49" t="s">
        <v>105</v>
      </c>
      <c r="G49" t="s">
        <v>49</v>
      </c>
      <c r="H49" s="4">
        <v>1</v>
      </c>
      <c r="I49" s="4">
        <f>VLOOKUP(Table1[[#This Row],[block]], 'pivot1 test order'!$R$5:$V$14, 5, FALSE)</f>
        <v>2</v>
      </c>
      <c r="J49" s="4" t="s">
        <v>33</v>
      </c>
      <c r="K49" t="s">
        <v>17</v>
      </c>
    </row>
    <row r="50" spans="1:11" x14ac:dyDescent="0.25">
      <c r="A50" t="s">
        <v>10</v>
      </c>
      <c r="B50" t="s">
        <v>8</v>
      </c>
      <c r="C50" t="s">
        <v>5</v>
      </c>
      <c r="D50" t="s">
        <v>18</v>
      </c>
      <c r="E50" t="str">
        <f>VLOOKUP(Table1[[#This Row],[specimen]],reference!$G$2:$H$17,2,FALSE)</f>
        <v>conform</v>
      </c>
      <c r="F50" t="s">
        <v>106</v>
      </c>
      <c r="G50" t="s">
        <v>49</v>
      </c>
      <c r="H50" s="4">
        <v>1</v>
      </c>
      <c r="I50" s="4">
        <f>VLOOKUP(Table1[[#This Row],[block]], 'pivot1 test order'!$R$5:$V$14, 5, FALSE)</f>
        <v>6</v>
      </c>
      <c r="J50" s="4" t="s">
        <v>18</v>
      </c>
      <c r="K50" t="s">
        <v>17</v>
      </c>
    </row>
    <row r="51" spans="1:11" x14ac:dyDescent="0.25">
      <c r="A51" t="s">
        <v>10</v>
      </c>
      <c r="B51" t="s">
        <v>8</v>
      </c>
      <c r="C51" t="s">
        <v>5</v>
      </c>
      <c r="D51" t="s">
        <v>19</v>
      </c>
      <c r="E51" t="str">
        <f>VLOOKUP(Table1[[#This Row],[specimen]],reference!$G$2:$H$17,2,FALSE)</f>
        <v>nonconform</v>
      </c>
      <c r="F51" t="s">
        <v>106</v>
      </c>
      <c r="G51" t="s">
        <v>49</v>
      </c>
      <c r="H51" s="4">
        <v>1</v>
      </c>
      <c r="I51" s="4">
        <f>VLOOKUP(Table1[[#This Row],[block]], 'pivot1 test order'!$R$5:$V$14, 5, FALSE)</f>
        <v>6</v>
      </c>
      <c r="J51" s="4" t="s">
        <v>19</v>
      </c>
      <c r="K51" t="s">
        <v>16</v>
      </c>
    </row>
    <row r="52" spans="1:11" x14ac:dyDescent="0.25">
      <c r="A52" t="s">
        <v>10</v>
      </c>
      <c r="B52" t="s">
        <v>8</v>
      </c>
      <c r="C52" t="s">
        <v>5</v>
      </c>
      <c r="D52" t="s">
        <v>20</v>
      </c>
      <c r="E52" t="str">
        <f>VLOOKUP(Table1[[#This Row],[specimen]],reference!$G$2:$H$17,2,FALSE)</f>
        <v>conform</v>
      </c>
      <c r="F52" t="s">
        <v>106</v>
      </c>
      <c r="G52" t="s">
        <v>49</v>
      </c>
      <c r="H52" s="4">
        <v>1</v>
      </c>
      <c r="I52" s="4">
        <f>VLOOKUP(Table1[[#This Row],[block]], 'pivot1 test order'!$R$5:$V$14, 5, FALSE)</f>
        <v>6</v>
      </c>
      <c r="J52" s="4" t="s">
        <v>20</v>
      </c>
      <c r="K52" t="s">
        <v>17</v>
      </c>
    </row>
    <row r="53" spans="1:11" x14ac:dyDescent="0.25">
      <c r="A53" t="s">
        <v>10</v>
      </c>
      <c r="B53" t="s">
        <v>8</v>
      </c>
      <c r="C53" t="s">
        <v>5</v>
      </c>
      <c r="D53" t="s">
        <v>21</v>
      </c>
      <c r="E53" t="str">
        <f>VLOOKUP(Table1[[#This Row],[specimen]],reference!$G$2:$H$17,2,FALSE)</f>
        <v>nonconform</v>
      </c>
      <c r="F53" t="s">
        <v>106</v>
      </c>
      <c r="G53" t="s">
        <v>49</v>
      </c>
      <c r="H53" s="4">
        <v>1</v>
      </c>
      <c r="I53" s="4">
        <f>VLOOKUP(Table1[[#This Row],[block]], 'pivot1 test order'!$R$5:$V$14, 5, FALSE)</f>
        <v>6</v>
      </c>
      <c r="J53" s="4" t="s">
        <v>21</v>
      </c>
      <c r="K53" t="s">
        <v>16</v>
      </c>
    </row>
    <row r="54" spans="1:11" x14ac:dyDescent="0.25">
      <c r="A54" t="s">
        <v>10</v>
      </c>
      <c r="B54" t="s">
        <v>8</v>
      </c>
      <c r="C54" t="s">
        <v>5</v>
      </c>
      <c r="D54" t="s">
        <v>22</v>
      </c>
      <c r="E54" t="str">
        <f>VLOOKUP(Table1[[#This Row],[specimen]],reference!$G$2:$H$17,2,FALSE)</f>
        <v>conform</v>
      </c>
      <c r="F54" t="s">
        <v>106</v>
      </c>
      <c r="G54" t="s">
        <v>49</v>
      </c>
      <c r="H54" s="4">
        <v>1</v>
      </c>
      <c r="I54" s="4">
        <f>VLOOKUP(Table1[[#This Row],[block]], 'pivot1 test order'!$R$5:$V$14, 5, FALSE)</f>
        <v>6</v>
      </c>
      <c r="J54" s="4" t="s">
        <v>22</v>
      </c>
      <c r="K54" t="s">
        <v>17</v>
      </c>
    </row>
    <row r="55" spans="1:11" x14ac:dyDescent="0.25">
      <c r="A55" t="s">
        <v>10</v>
      </c>
      <c r="B55" t="s">
        <v>8</v>
      </c>
      <c r="C55" t="s">
        <v>5</v>
      </c>
      <c r="D55" t="s">
        <v>23</v>
      </c>
      <c r="E55" t="str">
        <f>VLOOKUP(Table1[[#This Row],[specimen]],reference!$G$2:$H$17,2,FALSE)</f>
        <v>nonconform</v>
      </c>
      <c r="F55" t="s">
        <v>106</v>
      </c>
      <c r="G55" t="s">
        <v>49</v>
      </c>
      <c r="H55" s="4">
        <v>1</v>
      </c>
      <c r="I55" s="4">
        <f>VLOOKUP(Table1[[#This Row],[block]], 'pivot1 test order'!$R$5:$V$14, 5, FALSE)</f>
        <v>6</v>
      </c>
      <c r="J55" s="4" t="s">
        <v>23</v>
      </c>
      <c r="K55" t="s">
        <v>16</v>
      </c>
    </row>
    <row r="56" spans="1:11" x14ac:dyDescent="0.25">
      <c r="A56" t="s">
        <v>10</v>
      </c>
      <c r="B56" t="s">
        <v>8</v>
      </c>
      <c r="C56" t="s">
        <v>5</v>
      </c>
      <c r="D56" t="s">
        <v>24</v>
      </c>
      <c r="E56" t="str">
        <f>VLOOKUP(Table1[[#This Row],[specimen]],reference!$G$2:$H$17,2,FALSE)</f>
        <v>nonconform</v>
      </c>
      <c r="F56" t="s">
        <v>106</v>
      </c>
      <c r="G56" t="s">
        <v>49</v>
      </c>
      <c r="H56" s="4">
        <v>1</v>
      </c>
      <c r="I56" s="4">
        <f>VLOOKUP(Table1[[#This Row],[block]], 'pivot1 test order'!$R$5:$V$14, 5, FALSE)</f>
        <v>6</v>
      </c>
      <c r="J56" s="4" t="s">
        <v>24</v>
      </c>
      <c r="K56" t="s">
        <v>16</v>
      </c>
    </row>
    <row r="57" spans="1:11" x14ac:dyDescent="0.25">
      <c r="A57" t="s">
        <v>10</v>
      </c>
      <c r="B57" t="s">
        <v>8</v>
      </c>
      <c r="C57" t="s">
        <v>5</v>
      </c>
      <c r="D57" t="s">
        <v>25</v>
      </c>
      <c r="E57" t="str">
        <f>VLOOKUP(Table1[[#This Row],[specimen]],reference!$G$2:$H$17,2,FALSE)</f>
        <v>nonconform</v>
      </c>
      <c r="F57" t="s">
        <v>106</v>
      </c>
      <c r="G57" t="s">
        <v>49</v>
      </c>
      <c r="H57" s="4">
        <v>1</v>
      </c>
      <c r="I57" s="4">
        <f>VLOOKUP(Table1[[#This Row],[block]], 'pivot1 test order'!$R$5:$V$14, 5, FALSE)</f>
        <v>6</v>
      </c>
      <c r="J57" s="4" t="s">
        <v>25</v>
      </c>
      <c r="K57" t="s">
        <v>16</v>
      </c>
    </row>
    <row r="58" spans="1:11" x14ac:dyDescent="0.25">
      <c r="A58" t="s">
        <v>10</v>
      </c>
      <c r="B58" t="s">
        <v>8</v>
      </c>
      <c r="C58" t="s">
        <v>5</v>
      </c>
      <c r="D58" t="s">
        <v>26</v>
      </c>
      <c r="E58" t="str">
        <f>VLOOKUP(Table1[[#This Row],[specimen]],reference!$G$2:$H$17,2,FALSE)</f>
        <v>conform</v>
      </c>
      <c r="F58" t="s">
        <v>107</v>
      </c>
      <c r="G58" t="s">
        <v>49</v>
      </c>
      <c r="H58" s="4">
        <v>1</v>
      </c>
      <c r="I58" s="4">
        <f>VLOOKUP(Table1[[#This Row],[block]], 'pivot1 test order'!$R$5:$V$14, 5, FALSE)</f>
        <v>3</v>
      </c>
      <c r="J58" s="4" t="s">
        <v>26</v>
      </c>
      <c r="K58" t="s">
        <v>17</v>
      </c>
    </row>
    <row r="59" spans="1:11" x14ac:dyDescent="0.25">
      <c r="A59" t="s">
        <v>10</v>
      </c>
      <c r="B59" t="s">
        <v>8</v>
      </c>
      <c r="C59" t="s">
        <v>5</v>
      </c>
      <c r="D59" t="s">
        <v>27</v>
      </c>
      <c r="E59" t="str">
        <f>VLOOKUP(Table1[[#This Row],[specimen]],reference!$G$2:$H$17,2,FALSE)</f>
        <v>nonconform</v>
      </c>
      <c r="F59" t="s">
        <v>107</v>
      </c>
      <c r="G59" t="s">
        <v>49</v>
      </c>
      <c r="H59" s="4">
        <v>1</v>
      </c>
      <c r="I59" s="4">
        <f>VLOOKUP(Table1[[#This Row],[block]], 'pivot1 test order'!$R$5:$V$14, 5, FALSE)</f>
        <v>3</v>
      </c>
      <c r="J59" s="4" t="s">
        <v>27</v>
      </c>
      <c r="K59" t="s">
        <v>16</v>
      </c>
    </row>
    <row r="60" spans="1:11" x14ac:dyDescent="0.25">
      <c r="A60" t="s">
        <v>10</v>
      </c>
      <c r="B60" t="s">
        <v>8</v>
      </c>
      <c r="C60" t="s">
        <v>5</v>
      </c>
      <c r="D60" t="s">
        <v>28</v>
      </c>
      <c r="E60" t="str">
        <f>VLOOKUP(Table1[[#This Row],[specimen]],reference!$G$2:$H$17,2,FALSE)</f>
        <v>nonconform</v>
      </c>
      <c r="F60" t="s">
        <v>107</v>
      </c>
      <c r="G60" t="s">
        <v>49</v>
      </c>
      <c r="H60" s="4">
        <v>1</v>
      </c>
      <c r="I60" s="4">
        <f>VLOOKUP(Table1[[#This Row],[block]], 'pivot1 test order'!$R$5:$V$14, 5, FALSE)</f>
        <v>3</v>
      </c>
      <c r="J60" s="4" t="s">
        <v>28</v>
      </c>
      <c r="K60" t="s">
        <v>16</v>
      </c>
    </row>
    <row r="61" spans="1:11" x14ac:dyDescent="0.25">
      <c r="A61" t="s">
        <v>10</v>
      </c>
      <c r="B61" t="s">
        <v>8</v>
      </c>
      <c r="C61" t="s">
        <v>5</v>
      </c>
      <c r="D61" t="s">
        <v>29</v>
      </c>
      <c r="E61" t="str">
        <f>VLOOKUP(Table1[[#This Row],[specimen]],reference!$G$2:$H$17,2,FALSE)</f>
        <v>conform</v>
      </c>
      <c r="F61" t="s">
        <v>107</v>
      </c>
      <c r="G61" t="s">
        <v>49</v>
      </c>
      <c r="H61" s="4">
        <v>1</v>
      </c>
      <c r="I61" s="4">
        <f>VLOOKUP(Table1[[#This Row],[block]], 'pivot1 test order'!$R$5:$V$14, 5, FALSE)</f>
        <v>3</v>
      </c>
      <c r="J61" s="4" t="s">
        <v>29</v>
      </c>
      <c r="K61" t="s">
        <v>17</v>
      </c>
    </row>
    <row r="62" spans="1:11" x14ac:dyDescent="0.25">
      <c r="A62" t="s">
        <v>10</v>
      </c>
      <c r="B62" t="s">
        <v>8</v>
      </c>
      <c r="C62" t="s">
        <v>5</v>
      </c>
      <c r="D62" t="s">
        <v>30</v>
      </c>
      <c r="E62" t="str">
        <f>VLOOKUP(Table1[[#This Row],[specimen]],reference!$G$2:$H$17,2,FALSE)</f>
        <v>nonconform</v>
      </c>
      <c r="F62" t="s">
        <v>107</v>
      </c>
      <c r="G62" t="s">
        <v>49</v>
      </c>
      <c r="H62" s="4">
        <v>1</v>
      </c>
      <c r="I62" s="4">
        <f>VLOOKUP(Table1[[#This Row],[block]], 'pivot1 test order'!$R$5:$V$14, 5, FALSE)</f>
        <v>3</v>
      </c>
      <c r="J62" s="4" t="s">
        <v>30</v>
      </c>
      <c r="K62" t="s">
        <v>16</v>
      </c>
    </row>
    <row r="63" spans="1:11" x14ac:dyDescent="0.25">
      <c r="A63" t="s">
        <v>10</v>
      </c>
      <c r="B63" t="s">
        <v>8</v>
      </c>
      <c r="C63" t="s">
        <v>5</v>
      </c>
      <c r="D63" t="s">
        <v>31</v>
      </c>
      <c r="E63" t="str">
        <f>VLOOKUP(Table1[[#This Row],[specimen]],reference!$G$2:$H$17,2,FALSE)</f>
        <v>conform</v>
      </c>
      <c r="F63" t="s">
        <v>107</v>
      </c>
      <c r="G63" t="s">
        <v>49</v>
      </c>
      <c r="H63" s="4">
        <v>1</v>
      </c>
      <c r="I63" s="4">
        <f>VLOOKUP(Table1[[#This Row],[block]], 'pivot1 test order'!$R$5:$V$14, 5, FALSE)</f>
        <v>3</v>
      </c>
      <c r="J63" s="4" t="s">
        <v>31</v>
      </c>
      <c r="K63" t="s">
        <v>17</v>
      </c>
    </row>
    <row r="64" spans="1:11" x14ac:dyDescent="0.25">
      <c r="A64" t="s">
        <v>10</v>
      </c>
      <c r="B64" t="s">
        <v>8</v>
      </c>
      <c r="C64" t="s">
        <v>5</v>
      </c>
      <c r="D64" t="s">
        <v>32</v>
      </c>
      <c r="E64" t="str">
        <f>VLOOKUP(Table1[[#This Row],[specimen]],reference!$G$2:$H$17,2,FALSE)</f>
        <v>nonconform</v>
      </c>
      <c r="F64" t="s">
        <v>107</v>
      </c>
      <c r="G64" t="s">
        <v>49</v>
      </c>
      <c r="H64" s="4">
        <v>1</v>
      </c>
      <c r="I64" s="4">
        <f>VLOOKUP(Table1[[#This Row],[block]], 'pivot1 test order'!$R$5:$V$14, 5, FALSE)</f>
        <v>3</v>
      </c>
      <c r="J64" s="4" t="s">
        <v>32</v>
      </c>
      <c r="K64" t="s">
        <v>16</v>
      </c>
    </row>
    <row r="65" spans="1:11" x14ac:dyDescent="0.25">
      <c r="A65" t="s">
        <v>10</v>
      </c>
      <c r="B65" t="s">
        <v>8</v>
      </c>
      <c r="C65" t="s">
        <v>5</v>
      </c>
      <c r="D65" t="s">
        <v>33</v>
      </c>
      <c r="E65" t="str">
        <f>VLOOKUP(Table1[[#This Row],[specimen]],reference!$G$2:$H$17,2,FALSE)</f>
        <v>conform</v>
      </c>
      <c r="F65" t="s">
        <v>107</v>
      </c>
      <c r="G65" t="s">
        <v>49</v>
      </c>
      <c r="H65" s="4">
        <v>1</v>
      </c>
      <c r="I65" s="4">
        <f>VLOOKUP(Table1[[#This Row],[block]], 'pivot1 test order'!$R$5:$V$14, 5, FALSE)</f>
        <v>3</v>
      </c>
      <c r="J65" s="4" t="s">
        <v>33</v>
      </c>
      <c r="K65" t="s">
        <v>17</v>
      </c>
    </row>
    <row r="66" spans="1:11" x14ac:dyDescent="0.25">
      <c r="A66" t="s">
        <v>11</v>
      </c>
      <c r="B66" t="s">
        <v>8</v>
      </c>
      <c r="C66" t="s">
        <v>6</v>
      </c>
      <c r="D66" t="s">
        <v>18</v>
      </c>
      <c r="E66" t="str">
        <f>VLOOKUP(Table1[[#This Row],[specimen]],reference!$G$2:$H$17,2,FALSE)</f>
        <v>conform</v>
      </c>
      <c r="F66" t="s">
        <v>108</v>
      </c>
      <c r="G66" t="s">
        <v>49</v>
      </c>
      <c r="H66" s="4">
        <v>1</v>
      </c>
      <c r="I66" s="4">
        <f>VLOOKUP(Table1[[#This Row],[block]], 'pivot1 test order'!$R$5:$V$14, 5, FALSE)</f>
        <v>4</v>
      </c>
      <c r="J66" s="4" t="s">
        <v>18</v>
      </c>
      <c r="K66" t="s">
        <v>17</v>
      </c>
    </row>
    <row r="67" spans="1:11" x14ac:dyDescent="0.25">
      <c r="A67" t="s">
        <v>11</v>
      </c>
      <c r="B67" t="s">
        <v>8</v>
      </c>
      <c r="C67" t="s">
        <v>6</v>
      </c>
      <c r="D67" t="s">
        <v>19</v>
      </c>
      <c r="E67" t="str">
        <f>VLOOKUP(Table1[[#This Row],[specimen]],reference!$G$2:$H$17,2,FALSE)</f>
        <v>nonconform</v>
      </c>
      <c r="F67" t="s">
        <v>108</v>
      </c>
      <c r="G67" t="s">
        <v>49</v>
      </c>
      <c r="H67" s="4">
        <v>1</v>
      </c>
      <c r="I67" s="4">
        <f>VLOOKUP(Table1[[#This Row],[block]], 'pivot1 test order'!$R$5:$V$14, 5, FALSE)</f>
        <v>4</v>
      </c>
      <c r="J67" s="4" t="s">
        <v>19</v>
      </c>
      <c r="K67" t="s">
        <v>16</v>
      </c>
    </row>
    <row r="68" spans="1:11" x14ac:dyDescent="0.25">
      <c r="A68" t="s">
        <v>11</v>
      </c>
      <c r="B68" t="s">
        <v>8</v>
      </c>
      <c r="C68" t="s">
        <v>6</v>
      </c>
      <c r="D68" t="s">
        <v>20</v>
      </c>
      <c r="E68" t="str">
        <f>VLOOKUP(Table1[[#This Row],[specimen]],reference!$G$2:$H$17,2,FALSE)</f>
        <v>conform</v>
      </c>
      <c r="F68" t="s">
        <v>108</v>
      </c>
      <c r="G68" t="s">
        <v>49</v>
      </c>
      <c r="H68" s="4">
        <v>1</v>
      </c>
      <c r="I68" s="4">
        <f>VLOOKUP(Table1[[#This Row],[block]], 'pivot1 test order'!$R$5:$V$14, 5, FALSE)</f>
        <v>4</v>
      </c>
      <c r="J68" s="4" t="s">
        <v>20</v>
      </c>
      <c r="K68" t="s">
        <v>16</v>
      </c>
    </row>
    <row r="69" spans="1:11" x14ac:dyDescent="0.25">
      <c r="A69" t="s">
        <v>11</v>
      </c>
      <c r="B69" t="s">
        <v>8</v>
      </c>
      <c r="C69" t="s">
        <v>6</v>
      </c>
      <c r="D69" t="s">
        <v>21</v>
      </c>
      <c r="E69" t="str">
        <f>VLOOKUP(Table1[[#This Row],[specimen]],reference!$G$2:$H$17,2,FALSE)</f>
        <v>nonconform</v>
      </c>
      <c r="F69" t="s">
        <v>108</v>
      </c>
      <c r="G69" t="s">
        <v>49</v>
      </c>
      <c r="H69" s="4">
        <v>1</v>
      </c>
      <c r="I69" s="4">
        <f>VLOOKUP(Table1[[#This Row],[block]], 'pivot1 test order'!$R$5:$V$14, 5, FALSE)</f>
        <v>4</v>
      </c>
      <c r="J69" s="4" t="s">
        <v>21</v>
      </c>
      <c r="K69" t="s">
        <v>16</v>
      </c>
    </row>
    <row r="70" spans="1:11" x14ac:dyDescent="0.25">
      <c r="A70" t="s">
        <v>11</v>
      </c>
      <c r="B70" t="s">
        <v>8</v>
      </c>
      <c r="C70" t="s">
        <v>6</v>
      </c>
      <c r="D70" t="s">
        <v>22</v>
      </c>
      <c r="E70" t="str">
        <f>VLOOKUP(Table1[[#This Row],[specimen]],reference!$G$2:$H$17,2,FALSE)</f>
        <v>conform</v>
      </c>
      <c r="F70" t="s">
        <v>108</v>
      </c>
      <c r="G70" t="s">
        <v>49</v>
      </c>
      <c r="H70" s="4">
        <v>1</v>
      </c>
      <c r="I70" s="4">
        <f>VLOOKUP(Table1[[#This Row],[block]], 'pivot1 test order'!$R$5:$V$14, 5, FALSE)</f>
        <v>4</v>
      </c>
      <c r="J70" s="4" t="s">
        <v>22</v>
      </c>
      <c r="K70" t="s">
        <v>17</v>
      </c>
    </row>
    <row r="71" spans="1:11" x14ac:dyDescent="0.25">
      <c r="A71" t="s">
        <v>11</v>
      </c>
      <c r="B71" t="s">
        <v>8</v>
      </c>
      <c r="C71" t="s">
        <v>6</v>
      </c>
      <c r="D71" t="s">
        <v>23</v>
      </c>
      <c r="E71" t="str">
        <f>VLOOKUP(Table1[[#This Row],[specimen]],reference!$G$2:$H$17,2,FALSE)</f>
        <v>nonconform</v>
      </c>
      <c r="F71" t="s">
        <v>108</v>
      </c>
      <c r="G71" t="s">
        <v>49</v>
      </c>
      <c r="H71" s="4">
        <v>1</v>
      </c>
      <c r="I71" s="4">
        <f>VLOOKUP(Table1[[#This Row],[block]], 'pivot1 test order'!$R$5:$V$14, 5, FALSE)</f>
        <v>4</v>
      </c>
      <c r="J71" s="4" t="s">
        <v>23</v>
      </c>
      <c r="K71" t="s">
        <v>16</v>
      </c>
    </row>
    <row r="72" spans="1:11" x14ac:dyDescent="0.25">
      <c r="A72" t="s">
        <v>11</v>
      </c>
      <c r="B72" t="s">
        <v>8</v>
      </c>
      <c r="C72" t="s">
        <v>6</v>
      </c>
      <c r="D72" t="s">
        <v>24</v>
      </c>
      <c r="E72" t="str">
        <f>VLOOKUP(Table1[[#This Row],[specimen]],reference!$G$2:$H$17,2,FALSE)</f>
        <v>nonconform</v>
      </c>
      <c r="F72" t="s">
        <v>108</v>
      </c>
      <c r="G72" t="s">
        <v>49</v>
      </c>
      <c r="H72" s="4">
        <v>1</v>
      </c>
      <c r="I72" s="4">
        <f>VLOOKUP(Table1[[#This Row],[block]], 'pivot1 test order'!$R$5:$V$14, 5, FALSE)</f>
        <v>4</v>
      </c>
      <c r="J72" s="4" t="s">
        <v>24</v>
      </c>
      <c r="K72" t="s">
        <v>17</v>
      </c>
    </row>
    <row r="73" spans="1:11" x14ac:dyDescent="0.25">
      <c r="A73" t="s">
        <v>11</v>
      </c>
      <c r="B73" t="s">
        <v>8</v>
      </c>
      <c r="C73" t="s">
        <v>6</v>
      </c>
      <c r="D73" t="s">
        <v>25</v>
      </c>
      <c r="E73" t="str">
        <f>VLOOKUP(Table1[[#This Row],[specimen]],reference!$G$2:$H$17,2,FALSE)</f>
        <v>nonconform</v>
      </c>
      <c r="F73" t="s">
        <v>108</v>
      </c>
      <c r="G73" t="s">
        <v>49</v>
      </c>
      <c r="H73" s="4">
        <v>1</v>
      </c>
      <c r="I73" s="4">
        <f>VLOOKUP(Table1[[#This Row],[block]], 'pivot1 test order'!$R$5:$V$14, 5, FALSE)</f>
        <v>4</v>
      </c>
      <c r="J73" s="4" t="s">
        <v>25</v>
      </c>
      <c r="K73" t="s">
        <v>16</v>
      </c>
    </row>
    <row r="74" spans="1:11" x14ac:dyDescent="0.25">
      <c r="A74" t="s">
        <v>11</v>
      </c>
      <c r="B74" t="s">
        <v>8</v>
      </c>
      <c r="C74" t="s">
        <v>6</v>
      </c>
      <c r="D74" t="s">
        <v>26</v>
      </c>
      <c r="E74" t="str">
        <f>VLOOKUP(Table1[[#This Row],[specimen]],reference!$G$2:$H$17,2,FALSE)</f>
        <v>conform</v>
      </c>
      <c r="F74" t="s">
        <v>109</v>
      </c>
      <c r="G74" t="s">
        <v>49</v>
      </c>
      <c r="H74" s="4">
        <v>1</v>
      </c>
      <c r="I74" s="4">
        <f>VLOOKUP(Table1[[#This Row],[block]], 'pivot1 test order'!$R$5:$V$14, 5, FALSE)</f>
        <v>1</v>
      </c>
      <c r="J74" s="4" t="s">
        <v>26</v>
      </c>
      <c r="K74" t="s">
        <v>17</v>
      </c>
    </row>
    <row r="75" spans="1:11" x14ac:dyDescent="0.25">
      <c r="A75" t="s">
        <v>11</v>
      </c>
      <c r="B75" t="s">
        <v>8</v>
      </c>
      <c r="C75" t="s">
        <v>6</v>
      </c>
      <c r="D75" t="s">
        <v>27</v>
      </c>
      <c r="E75" t="str">
        <f>VLOOKUP(Table1[[#This Row],[specimen]],reference!$G$2:$H$17,2,FALSE)</f>
        <v>nonconform</v>
      </c>
      <c r="F75" t="s">
        <v>109</v>
      </c>
      <c r="G75" t="s">
        <v>49</v>
      </c>
      <c r="H75" s="4">
        <v>1</v>
      </c>
      <c r="I75" s="4">
        <f>VLOOKUP(Table1[[#This Row],[block]], 'pivot1 test order'!$R$5:$V$14, 5, FALSE)</f>
        <v>1</v>
      </c>
      <c r="J75" s="4" t="s">
        <v>27</v>
      </c>
      <c r="K75" t="s">
        <v>16</v>
      </c>
    </row>
    <row r="76" spans="1:11" x14ac:dyDescent="0.25">
      <c r="A76" t="s">
        <v>11</v>
      </c>
      <c r="B76" t="s">
        <v>8</v>
      </c>
      <c r="C76" t="s">
        <v>6</v>
      </c>
      <c r="D76" t="s">
        <v>28</v>
      </c>
      <c r="E76" t="str">
        <f>VLOOKUP(Table1[[#This Row],[specimen]],reference!$G$2:$H$17,2,FALSE)</f>
        <v>nonconform</v>
      </c>
      <c r="F76" t="s">
        <v>109</v>
      </c>
      <c r="G76" t="s">
        <v>49</v>
      </c>
      <c r="H76" s="4">
        <v>1</v>
      </c>
      <c r="I76" s="4">
        <f>VLOOKUP(Table1[[#This Row],[block]], 'pivot1 test order'!$R$5:$V$14, 5, FALSE)</f>
        <v>1</v>
      </c>
      <c r="J76" s="4" t="s">
        <v>28</v>
      </c>
      <c r="K76" t="s">
        <v>17</v>
      </c>
    </row>
    <row r="77" spans="1:11" x14ac:dyDescent="0.25">
      <c r="A77" t="s">
        <v>11</v>
      </c>
      <c r="B77" t="s">
        <v>8</v>
      </c>
      <c r="C77" t="s">
        <v>6</v>
      </c>
      <c r="D77" t="s">
        <v>29</v>
      </c>
      <c r="E77" t="str">
        <f>VLOOKUP(Table1[[#This Row],[specimen]],reference!$G$2:$H$17,2,FALSE)</f>
        <v>conform</v>
      </c>
      <c r="F77" t="s">
        <v>109</v>
      </c>
      <c r="G77" t="s">
        <v>49</v>
      </c>
      <c r="H77" s="4">
        <v>1</v>
      </c>
      <c r="I77" s="4">
        <f>VLOOKUP(Table1[[#This Row],[block]], 'pivot1 test order'!$R$5:$V$14, 5, FALSE)</f>
        <v>1</v>
      </c>
      <c r="J77" s="4" t="s">
        <v>29</v>
      </c>
      <c r="K77" t="s">
        <v>16</v>
      </c>
    </row>
    <row r="78" spans="1:11" x14ac:dyDescent="0.25">
      <c r="A78" t="s">
        <v>11</v>
      </c>
      <c r="B78" t="s">
        <v>8</v>
      </c>
      <c r="C78" t="s">
        <v>6</v>
      </c>
      <c r="D78" t="s">
        <v>30</v>
      </c>
      <c r="E78" t="str">
        <f>VLOOKUP(Table1[[#This Row],[specimen]],reference!$G$2:$H$17,2,FALSE)</f>
        <v>nonconform</v>
      </c>
      <c r="F78" t="s">
        <v>109</v>
      </c>
      <c r="G78" t="s">
        <v>49</v>
      </c>
      <c r="H78" s="4">
        <v>1</v>
      </c>
      <c r="I78" s="4">
        <f>VLOOKUP(Table1[[#This Row],[block]], 'pivot1 test order'!$R$5:$V$14, 5, FALSE)</f>
        <v>1</v>
      </c>
      <c r="J78" s="4" t="s">
        <v>30</v>
      </c>
      <c r="K78" t="s">
        <v>16</v>
      </c>
    </row>
    <row r="79" spans="1:11" x14ac:dyDescent="0.25">
      <c r="A79" t="s">
        <v>11</v>
      </c>
      <c r="B79" t="s">
        <v>8</v>
      </c>
      <c r="C79" t="s">
        <v>6</v>
      </c>
      <c r="D79" t="s">
        <v>31</v>
      </c>
      <c r="E79" t="str">
        <f>VLOOKUP(Table1[[#This Row],[specimen]],reference!$G$2:$H$17,2,FALSE)</f>
        <v>conform</v>
      </c>
      <c r="F79" t="s">
        <v>109</v>
      </c>
      <c r="G79" t="s">
        <v>49</v>
      </c>
      <c r="H79" s="4">
        <v>1</v>
      </c>
      <c r="I79" s="4">
        <f>VLOOKUP(Table1[[#This Row],[block]], 'pivot1 test order'!$R$5:$V$14, 5, FALSE)</f>
        <v>1</v>
      </c>
      <c r="J79" s="4" t="s">
        <v>31</v>
      </c>
      <c r="K79" t="s">
        <v>17</v>
      </c>
    </row>
    <row r="80" spans="1:11" x14ac:dyDescent="0.25">
      <c r="A80" t="s">
        <v>11</v>
      </c>
      <c r="B80" t="s">
        <v>8</v>
      </c>
      <c r="C80" t="s">
        <v>6</v>
      </c>
      <c r="D80" t="s">
        <v>32</v>
      </c>
      <c r="E80" t="str">
        <f>VLOOKUP(Table1[[#This Row],[specimen]],reference!$G$2:$H$17,2,FALSE)</f>
        <v>nonconform</v>
      </c>
      <c r="F80" t="s">
        <v>109</v>
      </c>
      <c r="G80" t="s">
        <v>49</v>
      </c>
      <c r="H80" s="4">
        <v>1</v>
      </c>
      <c r="I80" s="4">
        <f>VLOOKUP(Table1[[#This Row],[block]], 'pivot1 test order'!$R$5:$V$14, 5, FALSE)</f>
        <v>1</v>
      </c>
      <c r="J80" s="4" t="s">
        <v>32</v>
      </c>
      <c r="K80" t="s">
        <v>16</v>
      </c>
    </row>
    <row r="81" spans="1:11" x14ac:dyDescent="0.25">
      <c r="A81" t="s">
        <v>11</v>
      </c>
      <c r="B81" t="s">
        <v>8</v>
      </c>
      <c r="C81" t="s">
        <v>6</v>
      </c>
      <c r="D81" t="s">
        <v>33</v>
      </c>
      <c r="E81" t="str">
        <f>VLOOKUP(Table1[[#This Row],[specimen]],reference!$G$2:$H$17,2,FALSE)</f>
        <v>conform</v>
      </c>
      <c r="F81" t="s">
        <v>109</v>
      </c>
      <c r="G81" t="s">
        <v>49</v>
      </c>
      <c r="H81" s="4">
        <v>1</v>
      </c>
      <c r="I81" s="4">
        <f>VLOOKUP(Table1[[#This Row],[block]], 'pivot1 test order'!$R$5:$V$14, 5, FALSE)</f>
        <v>1</v>
      </c>
      <c r="J81" s="4" t="s">
        <v>33</v>
      </c>
      <c r="K81" t="s">
        <v>17</v>
      </c>
    </row>
    <row r="82" spans="1:11" x14ac:dyDescent="0.25">
      <c r="A82" t="s">
        <v>2</v>
      </c>
      <c r="B82" t="s">
        <v>7</v>
      </c>
      <c r="C82" t="s">
        <v>5</v>
      </c>
      <c r="D82" t="s">
        <v>18</v>
      </c>
      <c r="E82" t="str">
        <f>VLOOKUP(Table1[[#This Row],[specimen]],reference!$G$2:$H$17,2,FALSE)</f>
        <v>conform</v>
      </c>
      <c r="F82" t="s">
        <v>100</v>
      </c>
      <c r="G82" t="s">
        <v>50</v>
      </c>
      <c r="H82" s="4">
        <v>1</v>
      </c>
      <c r="I82" s="4">
        <f>VLOOKUP(Table1[[#This Row],[block]], 'pivot1 test order'!$R$5:$V$14, 5, FALSE)</f>
        <v>4</v>
      </c>
      <c r="J82" s="4" t="s">
        <v>68</v>
      </c>
      <c r="K82" t="s">
        <v>17</v>
      </c>
    </row>
    <row r="83" spans="1:11" x14ac:dyDescent="0.25">
      <c r="A83" t="s">
        <v>2</v>
      </c>
      <c r="B83" t="s">
        <v>7</v>
      </c>
      <c r="C83" t="s">
        <v>5</v>
      </c>
      <c r="D83" t="s">
        <v>19</v>
      </c>
      <c r="E83" t="str">
        <f>VLOOKUP(Table1[[#This Row],[specimen]],reference!$G$2:$H$17,2,FALSE)</f>
        <v>nonconform</v>
      </c>
      <c r="F83" t="s">
        <v>100</v>
      </c>
      <c r="G83" t="s">
        <v>50</v>
      </c>
      <c r="H83" s="4">
        <v>1</v>
      </c>
      <c r="I83" s="4">
        <f>VLOOKUP(Table1[[#This Row],[block]], 'pivot1 test order'!$R$5:$V$14, 5, FALSE)</f>
        <v>4</v>
      </c>
      <c r="J83" s="4" t="s">
        <v>69</v>
      </c>
      <c r="K83" t="s">
        <v>16</v>
      </c>
    </row>
    <row r="84" spans="1:11" x14ac:dyDescent="0.25">
      <c r="A84" t="s">
        <v>2</v>
      </c>
      <c r="B84" t="s">
        <v>7</v>
      </c>
      <c r="C84" t="s">
        <v>5</v>
      </c>
      <c r="D84" t="s">
        <v>20</v>
      </c>
      <c r="E84" t="str">
        <f>VLOOKUP(Table1[[#This Row],[specimen]],reference!$G$2:$H$17,2,FALSE)</f>
        <v>conform</v>
      </c>
      <c r="F84" t="s">
        <v>100</v>
      </c>
      <c r="G84" t="s">
        <v>50</v>
      </c>
      <c r="H84" s="4">
        <v>1</v>
      </c>
      <c r="I84" s="4">
        <f>VLOOKUP(Table1[[#This Row],[block]], 'pivot1 test order'!$R$5:$V$14, 5, FALSE)</f>
        <v>4</v>
      </c>
      <c r="J84" s="4" t="s">
        <v>70</v>
      </c>
      <c r="K84" t="s">
        <v>17</v>
      </c>
    </row>
    <row r="85" spans="1:11" x14ac:dyDescent="0.25">
      <c r="A85" t="s">
        <v>2</v>
      </c>
      <c r="B85" t="s">
        <v>7</v>
      </c>
      <c r="C85" t="s">
        <v>5</v>
      </c>
      <c r="D85" t="s">
        <v>21</v>
      </c>
      <c r="E85" t="str">
        <f>VLOOKUP(Table1[[#This Row],[specimen]],reference!$G$2:$H$17,2,FALSE)</f>
        <v>nonconform</v>
      </c>
      <c r="F85" t="s">
        <v>100</v>
      </c>
      <c r="G85" t="s">
        <v>50</v>
      </c>
      <c r="H85" s="4">
        <v>1</v>
      </c>
      <c r="I85" s="4">
        <f>VLOOKUP(Table1[[#This Row],[block]], 'pivot1 test order'!$R$5:$V$14, 5, FALSE)</f>
        <v>4</v>
      </c>
      <c r="J85" s="4" t="s">
        <v>71</v>
      </c>
      <c r="K85" t="s">
        <v>16</v>
      </c>
    </row>
    <row r="86" spans="1:11" x14ac:dyDescent="0.25">
      <c r="A86" t="s">
        <v>2</v>
      </c>
      <c r="B86" t="s">
        <v>7</v>
      </c>
      <c r="C86" t="s">
        <v>5</v>
      </c>
      <c r="D86" t="s">
        <v>22</v>
      </c>
      <c r="E86" t="str">
        <f>VLOOKUP(Table1[[#This Row],[specimen]],reference!$G$2:$H$17,2,FALSE)</f>
        <v>conform</v>
      </c>
      <c r="F86" t="s">
        <v>100</v>
      </c>
      <c r="G86" t="s">
        <v>50</v>
      </c>
      <c r="H86" s="4">
        <v>1</v>
      </c>
      <c r="I86" s="4">
        <f>VLOOKUP(Table1[[#This Row],[block]], 'pivot1 test order'!$R$5:$V$14, 5, FALSE)</f>
        <v>4</v>
      </c>
      <c r="J86" s="4" t="s">
        <v>72</v>
      </c>
      <c r="K86" t="s">
        <v>17</v>
      </c>
    </row>
    <row r="87" spans="1:11" x14ac:dyDescent="0.25">
      <c r="A87" t="s">
        <v>2</v>
      </c>
      <c r="B87" t="s">
        <v>7</v>
      </c>
      <c r="C87" t="s">
        <v>5</v>
      </c>
      <c r="D87" t="s">
        <v>23</v>
      </c>
      <c r="E87" t="str">
        <f>VLOOKUP(Table1[[#This Row],[specimen]],reference!$G$2:$H$17,2,FALSE)</f>
        <v>nonconform</v>
      </c>
      <c r="F87" t="s">
        <v>100</v>
      </c>
      <c r="G87" t="s">
        <v>50</v>
      </c>
      <c r="H87" s="4">
        <v>1</v>
      </c>
      <c r="I87" s="4">
        <f>VLOOKUP(Table1[[#This Row],[block]], 'pivot1 test order'!$R$5:$V$14, 5, FALSE)</f>
        <v>4</v>
      </c>
      <c r="J87" s="4" t="s">
        <v>73</v>
      </c>
      <c r="K87" t="s">
        <v>16</v>
      </c>
    </row>
    <row r="88" spans="1:11" x14ac:dyDescent="0.25">
      <c r="A88" t="s">
        <v>2</v>
      </c>
      <c r="B88" t="s">
        <v>7</v>
      </c>
      <c r="C88" t="s">
        <v>5</v>
      </c>
      <c r="D88" t="s">
        <v>24</v>
      </c>
      <c r="E88" t="str">
        <f>VLOOKUP(Table1[[#This Row],[specimen]],reference!$G$2:$H$17,2,FALSE)</f>
        <v>nonconform</v>
      </c>
      <c r="F88" t="s">
        <v>100</v>
      </c>
      <c r="G88" t="s">
        <v>50</v>
      </c>
      <c r="H88" s="4">
        <v>1</v>
      </c>
      <c r="I88" s="4">
        <f>VLOOKUP(Table1[[#This Row],[block]], 'pivot1 test order'!$R$5:$V$14, 5, FALSE)</f>
        <v>4</v>
      </c>
      <c r="J88" s="4" t="s">
        <v>74</v>
      </c>
      <c r="K88" t="s">
        <v>16</v>
      </c>
    </row>
    <row r="89" spans="1:11" x14ac:dyDescent="0.25">
      <c r="A89" t="s">
        <v>2</v>
      </c>
      <c r="B89" t="s">
        <v>7</v>
      </c>
      <c r="C89" t="s">
        <v>5</v>
      </c>
      <c r="D89" t="s">
        <v>25</v>
      </c>
      <c r="E89" t="str">
        <f>VLOOKUP(Table1[[#This Row],[specimen]],reference!$G$2:$H$17,2,FALSE)</f>
        <v>nonconform</v>
      </c>
      <c r="F89" t="s">
        <v>100</v>
      </c>
      <c r="G89" t="s">
        <v>50</v>
      </c>
      <c r="H89" s="4">
        <v>1</v>
      </c>
      <c r="I89" s="4">
        <f>VLOOKUP(Table1[[#This Row],[block]], 'pivot1 test order'!$R$5:$V$14, 5, FALSE)</f>
        <v>4</v>
      </c>
      <c r="J89" s="4" t="s">
        <v>75</v>
      </c>
      <c r="K89" t="s">
        <v>16</v>
      </c>
    </row>
    <row r="90" spans="1:11" x14ac:dyDescent="0.25">
      <c r="A90" t="s">
        <v>2</v>
      </c>
      <c r="B90" t="s">
        <v>7</v>
      </c>
      <c r="C90" t="s">
        <v>5</v>
      </c>
      <c r="D90" t="s">
        <v>26</v>
      </c>
      <c r="E90" t="str">
        <f>VLOOKUP(Table1[[#This Row],[specimen]],reference!$G$2:$H$17,2,FALSE)</f>
        <v>conform</v>
      </c>
      <c r="F90" t="s">
        <v>101</v>
      </c>
      <c r="G90" t="s">
        <v>50</v>
      </c>
      <c r="H90" s="4">
        <v>1</v>
      </c>
      <c r="I90" s="4">
        <f>VLOOKUP(Table1[[#This Row],[block]], 'pivot1 test order'!$R$5:$V$14, 5, FALSE)</f>
        <v>1</v>
      </c>
      <c r="J90" s="4" t="s">
        <v>76</v>
      </c>
      <c r="K90" t="s">
        <v>17</v>
      </c>
    </row>
    <row r="91" spans="1:11" x14ac:dyDescent="0.25">
      <c r="A91" t="s">
        <v>2</v>
      </c>
      <c r="B91" t="s">
        <v>7</v>
      </c>
      <c r="C91" t="s">
        <v>5</v>
      </c>
      <c r="D91" t="s">
        <v>27</v>
      </c>
      <c r="E91" t="str">
        <f>VLOOKUP(Table1[[#This Row],[specimen]],reference!$G$2:$H$17,2,FALSE)</f>
        <v>nonconform</v>
      </c>
      <c r="F91" t="s">
        <v>101</v>
      </c>
      <c r="G91" t="s">
        <v>50</v>
      </c>
      <c r="H91" s="4">
        <v>1</v>
      </c>
      <c r="I91" s="4">
        <f>VLOOKUP(Table1[[#This Row],[block]], 'pivot1 test order'!$R$5:$V$14, 5, FALSE)</f>
        <v>1</v>
      </c>
      <c r="J91" s="4" t="s">
        <v>77</v>
      </c>
      <c r="K91" t="s">
        <v>16</v>
      </c>
    </row>
    <row r="92" spans="1:11" x14ac:dyDescent="0.25">
      <c r="A92" t="s">
        <v>2</v>
      </c>
      <c r="B92" t="s">
        <v>7</v>
      </c>
      <c r="C92" t="s">
        <v>5</v>
      </c>
      <c r="D92" t="s">
        <v>28</v>
      </c>
      <c r="E92" t="str">
        <f>VLOOKUP(Table1[[#This Row],[specimen]],reference!$G$2:$H$17,2,FALSE)</f>
        <v>nonconform</v>
      </c>
      <c r="F92" t="s">
        <v>101</v>
      </c>
      <c r="G92" t="s">
        <v>50</v>
      </c>
      <c r="H92" s="4">
        <v>1</v>
      </c>
      <c r="I92" s="4">
        <f>VLOOKUP(Table1[[#This Row],[block]], 'pivot1 test order'!$R$5:$V$14, 5, FALSE)</f>
        <v>1</v>
      </c>
      <c r="J92" s="4" t="s">
        <v>78</v>
      </c>
      <c r="K92" t="s">
        <v>16</v>
      </c>
    </row>
    <row r="93" spans="1:11" x14ac:dyDescent="0.25">
      <c r="A93" t="s">
        <v>2</v>
      </c>
      <c r="B93" t="s">
        <v>7</v>
      </c>
      <c r="C93" t="s">
        <v>5</v>
      </c>
      <c r="D93" t="s">
        <v>29</v>
      </c>
      <c r="E93" t="str">
        <f>VLOOKUP(Table1[[#This Row],[specimen]],reference!$G$2:$H$17,2,FALSE)</f>
        <v>conform</v>
      </c>
      <c r="F93" t="s">
        <v>101</v>
      </c>
      <c r="G93" t="s">
        <v>50</v>
      </c>
      <c r="H93" s="4">
        <v>1</v>
      </c>
      <c r="I93" s="4">
        <f>VLOOKUP(Table1[[#This Row],[block]], 'pivot1 test order'!$R$5:$V$14, 5, FALSE)</f>
        <v>1</v>
      </c>
      <c r="J93" s="4" t="s">
        <v>79</v>
      </c>
      <c r="K93" t="s">
        <v>17</v>
      </c>
    </row>
    <row r="94" spans="1:11" x14ac:dyDescent="0.25">
      <c r="A94" t="s">
        <v>2</v>
      </c>
      <c r="B94" t="s">
        <v>7</v>
      </c>
      <c r="C94" t="s">
        <v>5</v>
      </c>
      <c r="D94" t="s">
        <v>30</v>
      </c>
      <c r="E94" t="str">
        <f>VLOOKUP(Table1[[#This Row],[specimen]],reference!$G$2:$H$17,2,FALSE)</f>
        <v>nonconform</v>
      </c>
      <c r="F94" t="s">
        <v>101</v>
      </c>
      <c r="G94" t="s">
        <v>50</v>
      </c>
      <c r="H94" s="4">
        <v>1</v>
      </c>
      <c r="I94" s="4">
        <f>VLOOKUP(Table1[[#This Row],[block]], 'pivot1 test order'!$R$5:$V$14, 5, FALSE)</f>
        <v>1</v>
      </c>
      <c r="J94" s="4" t="s">
        <v>80</v>
      </c>
      <c r="K94" t="s">
        <v>17</v>
      </c>
    </row>
    <row r="95" spans="1:11" x14ac:dyDescent="0.25">
      <c r="A95" t="s">
        <v>2</v>
      </c>
      <c r="B95" t="s">
        <v>7</v>
      </c>
      <c r="C95" t="s">
        <v>5</v>
      </c>
      <c r="D95" t="s">
        <v>31</v>
      </c>
      <c r="E95" t="str">
        <f>VLOOKUP(Table1[[#This Row],[specimen]],reference!$G$2:$H$17,2,FALSE)</f>
        <v>conform</v>
      </c>
      <c r="F95" t="s">
        <v>101</v>
      </c>
      <c r="G95" t="s">
        <v>50</v>
      </c>
      <c r="H95" s="4">
        <v>1</v>
      </c>
      <c r="I95" s="4">
        <f>VLOOKUP(Table1[[#This Row],[block]], 'pivot1 test order'!$R$5:$V$14, 5, FALSE)</f>
        <v>1</v>
      </c>
      <c r="J95" s="4" t="s">
        <v>81</v>
      </c>
      <c r="K95" t="s">
        <v>17</v>
      </c>
    </row>
    <row r="96" spans="1:11" x14ac:dyDescent="0.25">
      <c r="A96" t="s">
        <v>2</v>
      </c>
      <c r="B96" t="s">
        <v>7</v>
      </c>
      <c r="C96" t="s">
        <v>5</v>
      </c>
      <c r="D96" t="s">
        <v>32</v>
      </c>
      <c r="E96" t="str">
        <f>VLOOKUP(Table1[[#This Row],[specimen]],reference!$G$2:$H$17,2,FALSE)</f>
        <v>nonconform</v>
      </c>
      <c r="F96" t="s">
        <v>101</v>
      </c>
      <c r="G96" t="s">
        <v>50</v>
      </c>
      <c r="H96" s="4">
        <v>1</v>
      </c>
      <c r="I96" s="4">
        <f>VLOOKUP(Table1[[#This Row],[block]], 'pivot1 test order'!$R$5:$V$14, 5, FALSE)</f>
        <v>1</v>
      </c>
      <c r="J96" s="4" t="s">
        <v>82</v>
      </c>
      <c r="K96" t="s">
        <v>16</v>
      </c>
    </row>
    <row r="97" spans="1:11" x14ac:dyDescent="0.25">
      <c r="A97" t="s">
        <v>2</v>
      </c>
      <c r="B97" t="s">
        <v>7</v>
      </c>
      <c r="C97" t="s">
        <v>5</v>
      </c>
      <c r="D97" t="s">
        <v>33</v>
      </c>
      <c r="E97" t="str">
        <f>VLOOKUP(Table1[[#This Row],[specimen]],reference!$G$2:$H$17,2,FALSE)</f>
        <v>conform</v>
      </c>
      <c r="F97" t="s">
        <v>101</v>
      </c>
      <c r="G97" t="s">
        <v>50</v>
      </c>
      <c r="H97" s="4">
        <v>1</v>
      </c>
      <c r="I97" s="4">
        <f>VLOOKUP(Table1[[#This Row],[block]], 'pivot1 test order'!$R$5:$V$14, 5, FALSE)</f>
        <v>1</v>
      </c>
      <c r="J97" s="4" t="s">
        <v>83</v>
      </c>
      <c r="K97" t="s">
        <v>17</v>
      </c>
    </row>
    <row r="98" spans="1:11" x14ac:dyDescent="0.25">
      <c r="A98" t="s">
        <v>3</v>
      </c>
      <c r="B98" t="s">
        <v>7</v>
      </c>
      <c r="C98" t="s">
        <v>6</v>
      </c>
      <c r="D98" t="s">
        <v>18</v>
      </c>
      <c r="E98" t="str">
        <f>VLOOKUP(Table1[[#This Row],[specimen]],reference!$G$2:$H$17,2,FALSE)</f>
        <v>conform</v>
      </c>
      <c r="F98" t="s">
        <v>102</v>
      </c>
      <c r="G98" t="s">
        <v>50</v>
      </c>
      <c r="H98" s="4">
        <v>1</v>
      </c>
      <c r="I98" s="4">
        <f>VLOOKUP(Table1[[#This Row],[block]], 'pivot1 test order'!$R$5:$V$14, 5, FALSE)</f>
        <v>3</v>
      </c>
      <c r="J98" s="4" t="s">
        <v>68</v>
      </c>
      <c r="K98" t="s">
        <v>17</v>
      </c>
    </row>
    <row r="99" spans="1:11" x14ac:dyDescent="0.25">
      <c r="A99" t="s">
        <v>3</v>
      </c>
      <c r="B99" t="s">
        <v>7</v>
      </c>
      <c r="C99" t="s">
        <v>6</v>
      </c>
      <c r="D99" t="s">
        <v>19</v>
      </c>
      <c r="E99" t="str">
        <f>VLOOKUP(Table1[[#This Row],[specimen]],reference!$G$2:$H$17,2,FALSE)</f>
        <v>nonconform</v>
      </c>
      <c r="F99" t="s">
        <v>102</v>
      </c>
      <c r="G99" t="s">
        <v>50</v>
      </c>
      <c r="H99" s="4">
        <v>1</v>
      </c>
      <c r="I99" s="4">
        <f>VLOOKUP(Table1[[#This Row],[block]], 'pivot1 test order'!$R$5:$V$14, 5, FALSE)</f>
        <v>3</v>
      </c>
      <c r="J99" s="4" t="s">
        <v>69</v>
      </c>
      <c r="K99" t="s">
        <v>16</v>
      </c>
    </row>
    <row r="100" spans="1:11" x14ac:dyDescent="0.25">
      <c r="A100" t="s">
        <v>3</v>
      </c>
      <c r="B100" t="s">
        <v>7</v>
      </c>
      <c r="C100" t="s">
        <v>6</v>
      </c>
      <c r="D100" t="s">
        <v>20</v>
      </c>
      <c r="E100" t="str">
        <f>VLOOKUP(Table1[[#This Row],[specimen]],reference!$G$2:$H$17,2,FALSE)</f>
        <v>conform</v>
      </c>
      <c r="F100" t="s">
        <v>102</v>
      </c>
      <c r="G100" t="s">
        <v>50</v>
      </c>
      <c r="H100" s="4">
        <v>1</v>
      </c>
      <c r="I100" s="4">
        <f>VLOOKUP(Table1[[#This Row],[block]], 'pivot1 test order'!$R$5:$V$14, 5, FALSE)</f>
        <v>3</v>
      </c>
      <c r="J100" s="4" t="s">
        <v>70</v>
      </c>
      <c r="K100" t="s">
        <v>17</v>
      </c>
    </row>
    <row r="101" spans="1:11" x14ac:dyDescent="0.25">
      <c r="A101" t="s">
        <v>3</v>
      </c>
      <c r="B101" t="s">
        <v>7</v>
      </c>
      <c r="C101" t="s">
        <v>6</v>
      </c>
      <c r="D101" t="s">
        <v>21</v>
      </c>
      <c r="E101" t="str">
        <f>VLOOKUP(Table1[[#This Row],[specimen]],reference!$G$2:$H$17,2,FALSE)</f>
        <v>nonconform</v>
      </c>
      <c r="F101" t="s">
        <v>102</v>
      </c>
      <c r="G101" t="s">
        <v>50</v>
      </c>
      <c r="H101" s="4">
        <v>1</v>
      </c>
      <c r="I101" s="4">
        <f>VLOOKUP(Table1[[#This Row],[block]], 'pivot1 test order'!$R$5:$V$14, 5, FALSE)</f>
        <v>3</v>
      </c>
      <c r="J101" s="4" t="s">
        <v>71</v>
      </c>
      <c r="K101" t="s">
        <v>16</v>
      </c>
    </row>
    <row r="102" spans="1:11" x14ac:dyDescent="0.25">
      <c r="A102" t="s">
        <v>3</v>
      </c>
      <c r="B102" t="s">
        <v>7</v>
      </c>
      <c r="C102" t="s">
        <v>6</v>
      </c>
      <c r="D102" t="s">
        <v>22</v>
      </c>
      <c r="E102" t="str">
        <f>VLOOKUP(Table1[[#This Row],[specimen]],reference!$G$2:$H$17,2,FALSE)</f>
        <v>conform</v>
      </c>
      <c r="F102" t="s">
        <v>102</v>
      </c>
      <c r="G102" t="s">
        <v>50</v>
      </c>
      <c r="H102" s="4">
        <v>1</v>
      </c>
      <c r="I102" s="4">
        <f>VLOOKUP(Table1[[#This Row],[block]], 'pivot1 test order'!$R$5:$V$14, 5, FALSE)</f>
        <v>3</v>
      </c>
      <c r="J102" s="4" t="s">
        <v>72</v>
      </c>
      <c r="K102" t="s">
        <v>17</v>
      </c>
    </row>
    <row r="103" spans="1:11" x14ac:dyDescent="0.25">
      <c r="A103" t="s">
        <v>3</v>
      </c>
      <c r="B103" t="s">
        <v>7</v>
      </c>
      <c r="C103" t="s">
        <v>6</v>
      </c>
      <c r="D103" t="s">
        <v>23</v>
      </c>
      <c r="E103" t="str">
        <f>VLOOKUP(Table1[[#This Row],[specimen]],reference!$G$2:$H$17,2,FALSE)</f>
        <v>nonconform</v>
      </c>
      <c r="F103" t="s">
        <v>102</v>
      </c>
      <c r="G103" t="s">
        <v>50</v>
      </c>
      <c r="H103" s="4">
        <v>1</v>
      </c>
      <c r="I103" s="4">
        <f>VLOOKUP(Table1[[#This Row],[block]], 'pivot1 test order'!$R$5:$V$14, 5, FALSE)</f>
        <v>3</v>
      </c>
      <c r="J103" s="4" t="s">
        <v>73</v>
      </c>
      <c r="K103" t="s">
        <v>16</v>
      </c>
    </row>
    <row r="104" spans="1:11" x14ac:dyDescent="0.25">
      <c r="A104" t="s">
        <v>3</v>
      </c>
      <c r="B104" t="s">
        <v>7</v>
      </c>
      <c r="C104" t="s">
        <v>6</v>
      </c>
      <c r="D104" t="s">
        <v>24</v>
      </c>
      <c r="E104" t="str">
        <f>VLOOKUP(Table1[[#This Row],[specimen]],reference!$G$2:$H$17,2,FALSE)</f>
        <v>nonconform</v>
      </c>
      <c r="F104" t="s">
        <v>102</v>
      </c>
      <c r="G104" t="s">
        <v>50</v>
      </c>
      <c r="H104" s="4">
        <v>1</v>
      </c>
      <c r="I104" s="4">
        <f>VLOOKUP(Table1[[#This Row],[block]], 'pivot1 test order'!$R$5:$V$14, 5, FALSE)</f>
        <v>3</v>
      </c>
      <c r="J104" s="4" t="s">
        <v>74</v>
      </c>
      <c r="K104" t="s">
        <v>16</v>
      </c>
    </row>
    <row r="105" spans="1:11" x14ac:dyDescent="0.25">
      <c r="A105" t="s">
        <v>3</v>
      </c>
      <c r="B105" t="s">
        <v>7</v>
      </c>
      <c r="C105" t="s">
        <v>6</v>
      </c>
      <c r="D105" t="s">
        <v>25</v>
      </c>
      <c r="E105" t="str">
        <f>VLOOKUP(Table1[[#This Row],[specimen]],reference!$G$2:$H$17,2,FALSE)</f>
        <v>nonconform</v>
      </c>
      <c r="F105" t="s">
        <v>102</v>
      </c>
      <c r="G105" t="s">
        <v>50</v>
      </c>
      <c r="H105" s="4">
        <v>1</v>
      </c>
      <c r="I105" s="4">
        <f>VLOOKUP(Table1[[#This Row],[block]], 'pivot1 test order'!$R$5:$V$14, 5, FALSE)</f>
        <v>3</v>
      </c>
      <c r="J105" s="4" t="s">
        <v>75</v>
      </c>
      <c r="K105" t="s">
        <v>16</v>
      </c>
    </row>
    <row r="106" spans="1:11" x14ac:dyDescent="0.25">
      <c r="A106" t="s">
        <v>3</v>
      </c>
      <c r="B106" t="s">
        <v>7</v>
      </c>
      <c r="C106" t="s">
        <v>6</v>
      </c>
      <c r="D106" t="s">
        <v>26</v>
      </c>
      <c r="E106" t="str">
        <f>VLOOKUP(Table1[[#This Row],[specimen]],reference!$G$2:$H$17,2,FALSE)</f>
        <v>conform</v>
      </c>
      <c r="F106" t="s">
        <v>103</v>
      </c>
      <c r="G106" t="s">
        <v>50</v>
      </c>
      <c r="H106" s="4">
        <v>1</v>
      </c>
      <c r="I106" s="4">
        <f>VLOOKUP(Table1[[#This Row],[block]], 'pivot1 test order'!$R$5:$V$14, 5, FALSE)</f>
        <v>2</v>
      </c>
      <c r="J106" s="4" t="s">
        <v>76</v>
      </c>
      <c r="K106" t="s">
        <v>17</v>
      </c>
    </row>
    <row r="107" spans="1:11" x14ac:dyDescent="0.25">
      <c r="A107" t="s">
        <v>3</v>
      </c>
      <c r="B107" t="s">
        <v>7</v>
      </c>
      <c r="C107" t="s">
        <v>6</v>
      </c>
      <c r="D107" t="s">
        <v>27</v>
      </c>
      <c r="E107" t="str">
        <f>VLOOKUP(Table1[[#This Row],[specimen]],reference!$G$2:$H$17,2,FALSE)</f>
        <v>nonconform</v>
      </c>
      <c r="F107" t="s">
        <v>103</v>
      </c>
      <c r="G107" t="s">
        <v>50</v>
      </c>
      <c r="H107" s="4">
        <v>1</v>
      </c>
      <c r="I107" s="4">
        <f>VLOOKUP(Table1[[#This Row],[block]], 'pivot1 test order'!$R$5:$V$14, 5, FALSE)</f>
        <v>2</v>
      </c>
      <c r="J107" s="4" t="s">
        <v>77</v>
      </c>
      <c r="K107" t="s">
        <v>16</v>
      </c>
    </row>
    <row r="108" spans="1:11" x14ac:dyDescent="0.25">
      <c r="A108" t="s">
        <v>3</v>
      </c>
      <c r="B108" t="s">
        <v>7</v>
      </c>
      <c r="C108" t="s">
        <v>6</v>
      </c>
      <c r="D108" t="s">
        <v>28</v>
      </c>
      <c r="E108" t="str">
        <f>VLOOKUP(Table1[[#This Row],[specimen]],reference!$G$2:$H$17,2,FALSE)</f>
        <v>nonconform</v>
      </c>
      <c r="F108" t="s">
        <v>103</v>
      </c>
      <c r="G108" t="s">
        <v>50</v>
      </c>
      <c r="H108" s="4">
        <v>1</v>
      </c>
      <c r="I108" s="4">
        <f>VLOOKUP(Table1[[#This Row],[block]], 'pivot1 test order'!$R$5:$V$14, 5, FALSE)</f>
        <v>2</v>
      </c>
      <c r="J108" s="4" t="s">
        <v>78</v>
      </c>
      <c r="K108" t="s">
        <v>16</v>
      </c>
    </row>
    <row r="109" spans="1:11" x14ac:dyDescent="0.25">
      <c r="A109" t="s">
        <v>3</v>
      </c>
      <c r="B109" t="s">
        <v>7</v>
      </c>
      <c r="C109" t="s">
        <v>6</v>
      </c>
      <c r="D109" t="s">
        <v>29</v>
      </c>
      <c r="E109" t="str">
        <f>VLOOKUP(Table1[[#This Row],[specimen]],reference!$G$2:$H$17,2,FALSE)</f>
        <v>conform</v>
      </c>
      <c r="F109" t="s">
        <v>103</v>
      </c>
      <c r="G109" t="s">
        <v>50</v>
      </c>
      <c r="H109" s="4">
        <v>1</v>
      </c>
      <c r="I109" s="4">
        <f>VLOOKUP(Table1[[#This Row],[block]], 'pivot1 test order'!$R$5:$V$14, 5, FALSE)</f>
        <v>2</v>
      </c>
      <c r="J109" s="4" t="s">
        <v>79</v>
      </c>
      <c r="K109" t="s">
        <v>17</v>
      </c>
    </row>
    <row r="110" spans="1:11" x14ac:dyDescent="0.25">
      <c r="A110" t="s">
        <v>3</v>
      </c>
      <c r="B110" t="s">
        <v>7</v>
      </c>
      <c r="C110" t="s">
        <v>6</v>
      </c>
      <c r="D110" t="s">
        <v>30</v>
      </c>
      <c r="E110" t="str">
        <f>VLOOKUP(Table1[[#This Row],[specimen]],reference!$G$2:$H$17,2,FALSE)</f>
        <v>nonconform</v>
      </c>
      <c r="F110" t="s">
        <v>103</v>
      </c>
      <c r="G110" t="s">
        <v>50</v>
      </c>
      <c r="H110" s="4">
        <v>1</v>
      </c>
      <c r="I110" s="4">
        <f>VLOOKUP(Table1[[#This Row],[block]], 'pivot1 test order'!$R$5:$V$14, 5, FALSE)</f>
        <v>2</v>
      </c>
      <c r="J110" s="4" t="s">
        <v>80</v>
      </c>
      <c r="K110" t="s">
        <v>16</v>
      </c>
    </row>
    <row r="111" spans="1:11" x14ac:dyDescent="0.25">
      <c r="A111" t="s">
        <v>3</v>
      </c>
      <c r="B111" t="s">
        <v>7</v>
      </c>
      <c r="C111" t="s">
        <v>6</v>
      </c>
      <c r="D111" t="s">
        <v>31</v>
      </c>
      <c r="E111" t="str">
        <f>VLOOKUP(Table1[[#This Row],[specimen]],reference!$G$2:$H$17,2,FALSE)</f>
        <v>conform</v>
      </c>
      <c r="F111" t="s">
        <v>103</v>
      </c>
      <c r="G111" t="s">
        <v>50</v>
      </c>
      <c r="H111" s="4">
        <v>1</v>
      </c>
      <c r="I111" s="4">
        <f>VLOOKUP(Table1[[#This Row],[block]], 'pivot1 test order'!$R$5:$V$14, 5, FALSE)</f>
        <v>2</v>
      </c>
      <c r="J111" s="4" t="s">
        <v>81</v>
      </c>
      <c r="K111" t="s">
        <v>17</v>
      </c>
    </row>
    <row r="112" spans="1:11" x14ac:dyDescent="0.25">
      <c r="A112" t="s">
        <v>3</v>
      </c>
      <c r="B112" t="s">
        <v>7</v>
      </c>
      <c r="C112" t="s">
        <v>6</v>
      </c>
      <c r="D112" t="s">
        <v>32</v>
      </c>
      <c r="E112" t="str">
        <f>VLOOKUP(Table1[[#This Row],[specimen]],reference!$G$2:$H$17,2,FALSE)</f>
        <v>nonconform</v>
      </c>
      <c r="F112" t="s">
        <v>103</v>
      </c>
      <c r="G112" t="s">
        <v>50</v>
      </c>
      <c r="H112" s="4">
        <v>1</v>
      </c>
      <c r="I112" s="4">
        <f>VLOOKUP(Table1[[#This Row],[block]], 'pivot1 test order'!$R$5:$V$14, 5, FALSE)</f>
        <v>2</v>
      </c>
      <c r="J112" s="4" t="s">
        <v>82</v>
      </c>
      <c r="K112" t="s">
        <v>16</v>
      </c>
    </row>
    <row r="113" spans="1:11" x14ac:dyDescent="0.25">
      <c r="A113" t="s">
        <v>3</v>
      </c>
      <c r="B113" t="s">
        <v>7</v>
      </c>
      <c r="C113" t="s">
        <v>6</v>
      </c>
      <c r="D113" t="s">
        <v>33</v>
      </c>
      <c r="E113" t="str">
        <f>VLOOKUP(Table1[[#This Row],[specimen]],reference!$G$2:$H$17,2,FALSE)</f>
        <v>conform</v>
      </c>
      <c r="F113" t="s">
        <v>103</v>
      </c>
      <c r="G113" t="s">
        <v>50</v>
      </c>
      <c r="H113" s="4">
        <v>1</v>
      </c>
      <c r="I113" s="4">
        <f>VLOOKUP(Table1[[#This Row],[block]], 'pivot1 test order'!$R$5:$V$14, 5, FALSE)</f>
        <v>2</v>
      </c>
      <c r="J113" s="4" t="s">
        <v>83</v>
      </c>
      <c r="K113" t="s">
        <v>17</v>
      </c>
    </row>
    <row r="114" spans="1:11" x14ac:dyDescent="0.25">
      <c r="A114" t="s">
        <v>9</v>
      </c>
      <c r="B114" t="s">
        <v>8</v>
      </c>
      <c r="C114" t="s">
        <v>5</v>
      </c>
      <c r="D114" t="s">
        <v>18</v>
      </c>
      <c r="E114" t="str">
        <f>VLOOKUP(Table1[[#This Row],[specimen]],reference!$G$2:$H$17,2,FALSE)</f>
        <v>conform</v>
      </c>
      <c r="F114" t="s">
        <v>104</v>
      </c>
      <c r="G114" t="s">
        <v>50</v>
      </c>
      <c r="H114" s="4">
        <v>1</v>
      </c>
      <c r="I114" s="4">
        <f>VLOOKUP(Table1[[#This Row],[block]], 'pivot1 test order'!$R$5:$V$14, 5, FALSE)</f>
        <v>5</v>
      </c>
      <c r="J114" s="4" t="s">
        <v>68</v>
      </c>
      <c r="K114" t="s">
        <v>17</v>
      </c>
    </row>
    <row r="115" spans="1:11" x14ac:dyDescent="0.25">
      <c r="A115" t="s">
        <v>9</v>
      </c>
      <c r="B115" t="s">
        <v>8</v>
      </c>
      <c r="C115" t="s">
        <v>5</v>
      </c>
      <c r="D115" t="s">
        <v>19</v>
      </c>
      <c r="E115" t="str">
        <f>VLOOKUP(Table1[[#This Row],[specimen]],reference!$G$2:$H$17,2,FALSE)</f>
        <v>nonconform</v>
      </c>
      <c r="F115" t="s">
        <v>104</v>
      </c>
      <c r="G115" t="s">
        <v>50</v>
      </c>
      <c r="H115" s="4">
        <v>1</v>
      </c>
      <c r="I115" s="4">
        <f>VLOOKUP(Table1[[#This Row],[block]], 'pivot1 test order'!$R$5:$V$14, 5, FALSE)</f>
        <v>5</v>
      </c>
      <c r="J115" s="4" t="s">
        <v>69</v>
      </c>
      <c r="K115" t="s">
        <v>16</v>
      </c>
    </row>
    <row r="116" spans="1:11" x14ac:dyDescent="0.25">
      <c r="A116" t="s">
        <v>9</v>
      </c>
      <c r="B116" t="s">
        <v>8</v>
      </c>
      <c r="C116" t="s">
        <v>5</v>
      </c>
      <c r="D116" t="s">
        <v>20</v>
      </c>
      <c r="E116" t="str">
        <f>VLOOKUP(Table1[[#This Row],[specimen]],reference!$G$2:$H$17,2,FALSE)</f>
        <v>conform</v>
      </c>
      <c r="F116" t="s">
        <v>104</v>
      </c>
      <c r="G116" t="s">
        <v>50</v>
      </c>
      <c r="H116" s="4">
        <v>1</v>
      </c>
      <c r="I116" s="4">
        <f>VLOOKUP(Table1[[#This Row],[block]], 'pivot1 test order'!$R$5:$V$14, 5, FALSE)</f>
        <v>5</v>
      </c>
      <c r="J116" s="4" t="s">
        <v>70</v>
      </c>
      <c r="K116" t="s">
        <v>17</v>
      </c>
    </row>
    <row r="117" spans="1:11" x14ac:dyDescent="0.25">
      <c r="A117" t="s">
        <v>9</v>
      </c>
      <c r="B117" t="s">
        <v>8</v>
      </c>
      <c r="C117" t="s">
        <v>5</v>
      </c>
      <c r="D117" t="s">
        <v>21</v>
      </c>
      <c r="E117" t="str">
        <f>VLOOKUP(Table1[[#This Row],[specimen]],reference!$G$2:$H$17,2,FALSE)</f>
        <v>nonconform</v>
      </c>
      <c r="F117" t="s">
        <v>104</v>
      </c>
      <c r="G117" t="s">
        <v>50</v>
      </c>
      <c r="H117" s="4">
        <v>1</v>
      </c>
      <c r="I117" s="4">
        <f>VLOOKUP(Table1[[#This Row],[block]], 'pivot1 test order'!$R$5:$V$14, 5, FALSE)</f>
        <v>5</v>
      </c>
      <c r="J117" s="4" t="s">
        <v>71</v>
      </c>
      <c r="K117" t="s">
        <v>16</v>
      </c>
    </row>
    <row r="118" spans="1:11" x14ac:dyDescent="0.25">
      <c r="A118" t="s">
        <v>9</v>
      </c>
      <c r="B118" t="s">
        <v>8</v>
      </c>
      <c r="C118" t="s">
        <v>5</v>
      </c>
      <c r="D118" t="s">
        <v>22</v>
      </c>
      <c r="E118" t="str">
        <f>VLOOKUP(Table1[[#This Row],[specimen]],reference!$G$2:$H$17,2,FALSE)</f>
        <v>conform</v>
      </c>
      <c r="F118" t="s">
        <v>104</v>
      </c>
      <c r="G118" t="s">
        <v>50</v>
      </c>
      <c r="H118" s="4">
        <v>1</v>
      </c>
      <c r="I118" s="4">
        <f>VLOOKUP(Table1[[#This Row],[block]], 'pivot1 test order'!$R$5:$V$14, 5, FALSE)</f>
        <v>5</v>
      </c>
      <c r="J118" s="4" t="s">
        <v>72</v>
      </c>
      <c r="K118" t="s">
        <v>17</v>
      </c>
    </row>
    <row r="119" spans="1:11" x14ac:dyDescent="0.25">
      <c r="A119" t="s">
        <v>9</v>
      </c>
      <c r="B119" t="s">
        <v>8</v>
      </c>
      <c r="C119" t="s">
        <v>5</v>
      </c>
      <c r="D119" t="s">
        <v>23</v>
      </c>
      <c r="E119" t="str">
        <f>VLOOKUP(Table1[[#This Row],[specimen]],reference!$G$2:$H$17,2,FALSE)</f>
        <v>nonconform</v>
      </c>
      <c r="F119" t="s">
        <v>104</v>
      </c>
      <c r="G119" t="s">
        <v>50</v>
      </c>
      <c r="H119" s="4">
        <v>1</v>
      </c>
      <c r="I119" s="4">
        <f>VLOOKUP(Table1[[#This Row],[block]], 'pivot1 test order'!$R$5:$V$14, 5, FALSE)</f>
        <v>5</v>
      </c>
      <c r="J119" s="4" t="s">
        <v>73</v>
      </c>
      <c r="K119" t="s">
        <v>16</v>
      </c>
    </row>
    <row r="120" spans="1:11" x14ac:dyDescent="0.25">
      <c r="A120" t="s">
        <v>9</v>
      </c>
      <c r="B120" t="s">
        <v>8</v>
      </c>
      <c r="C120" t="s">
        <v>5</v>
      </c>
      <c r="D120" t="s">
        <v>24</v>
      </c>
      <c r="E120" t="str">
        <f>VLOOKUP(Table1[[#This Row],[specimen]],reference!$G$2:$H$17,2,FALSE)</f>
        <v>nonconform</v>
      </c>
      <c r="F120" t="s">
        <v>104</v>
      </c>
      <c r="G120" t="s">
        <v>50</v>
      </c>
      <c r="H120" s="4">
        <v>1</v>
      </c>
      <c r="I120" s="4">
        <f>VLOOKUP(Table1[[#This Row],[block]], 'pivot1 test order'!$R$5:$V$14, 5, FALSE)</f>
        <v>5</v>
      </c>
      <c r="J120" s="4" t="s">
        <v>74</v>
      </c>
      <c r="K120" t="s">
        <v>16</v>
      </c>
    </row>
    <row r="121" spans="1:11" x14ac:dyDescent="0.25">
      <c r="A121" t="s">
        <v>9</v>
      </c>
      <c r="B121" t="s">
        <v>8</v>
      </c>
      <c r="C121" t="s">
        <v>5</v>
      </c>
      <c r="D121" t="s">
        <v>25</v>
      </c>
      <c r="E121" t="str">
        <f>VLOOKUP(Table1[[#This Row],[specimen]],reference!$G$2:$H$17,2,FALSE)</f>
        <v>nonconform</v>
      </c>
      <c r="F121" t="s">
        <v>104</v>
      </c>
      <c r="G121" t="s">
        <v>50</v>
      </c>
      <c r="H121" s="4">
        <v>1</v>
      </c>
      <c r="I121" s="4">
        <f>VLOOKUP(Table1[[#This Row],[block]], 'pivot1 test order'!$R$5:$V$14, 5, FALSE)</f>
        <v>5</v>
      </c>
      <c r="J121" s="4" t="s">
        <v>75</v>
      </c>
      <c r="K121" t="s">
        <v>16</v>
      </c>
    </row>
    <row r="122" spans="1:11" x14ac:dyDescent="0.25">
      <c r="A122" t="s">
        <v>9</v>
      </c>
      <c r="B122" t="s">
        <v>8</v>
      </c>
      <c r="C122" t="s">
        <v>5</v>
      </c>
      <c r="D122" t="s">
        <v>26</v>
      </c>
      <c r="E122" t="str">
        <f>VLOOKUP(Table1[[#This Row],[specimen]],reference!$G$2:$H$17,2,FALSE)</f>
        <v>conform</v>
      </c>
      <c r="F122" t="s">
        <v>105</v>
      </c>
      <c r="G122" t="s">
        <v>50</v>
      </c>
      <c r="H122" s="4">
        <v>1</v>
      </c>
      <c r="I122" s="4">
        <f>VLOOKUP(Table1[[#This Row],[block]], 'pivot1 test order'!$R$5:$V$14, 5, FALSE)</f>
        <v>2</v>
      </c>
      <c r="J122" s="4" t="s">
        <v>76</v>
      </c>
      <c r="K122" t="s">
        <v>17</v>
      </c>
    </row>
    <row r="123" spans="1:11" x14ac:dyDescent="0.25">
      <c r="A123" t="s">
        <v>9</v>
      </c>
      <c r="B123" t="s">
        <v>8</v>
      </c>
      <c r="C123" t="s">
        <v>5</v>
      </c>
      <c r="D123" t="s">
        <v>27</v>
      </c>
      <c r="E123" t="str">
        <f>VLOOKUP(Table1[[#This Row],[specimen]],reference!$G$2:$H$17,2,FALSE)</f>
        <v>nonconform</v>
      </c>
      <c r="F123" t="s">
        <v>105</v>
      </c>
      <c r="G123" t="s">
        <v>50</v>
      </c>
      <c r="H123" s="4">
        <v>1</v>
      </c>
      <c r="I123" s="4">
        <f>VLOOKUP(Table1[[#This Row],[block]], 'pivot1 test order'!$R$5:$V$14, 5, FALSE)</f>
        <v>2</v>
      </c>
      <c r="J123" s="4" t="s">
        <v>77</v>
      </c>
      <c r="K123" t="s">
        <v>16</v>
      </c>
    </row>
    <row r="124" spans="1:11" x14ac:dyDescent="0.25">
      <c r="A124" t="s">
        <v>9</v>
      </c>
      <c r="B124" t="s">
        <v>8</v>
      </c>
      <c r="C124" t="s">
        <v>5</v>
      </c>
      <c r="D124" t="s">
        <v>28</v>
      </c>
      <c r="E124" t="str">
        <f>VLOOKUP(Table1[[#This Row],[specimen]],reference!$G$2:$H$17,2,FALSE)</f>
        <v>nonconform</v>
      </c>
      <c r="F124" t="s">
        <v>105</v>
      </c>
      <c r="G124" t="s">
        <v>50</v>
      </c>
      <c r="H124" s="4">
        <v>1</v>
      </c>
      <c r="I124" s="4">
        <f>VLOOKUP(Table1[[#This Row],[block]], 'pivot1 test order'!$R$5:$V$14, 5, FALSE)</f>
        <v>2</v>
      </c>
      <c r="J124" s="4" t="s">
        <v>78</v>
      </c>
      <c r="K124" t="s">
        <v>16</v>
      </c>
    </row>
    <row r="125" spans="1:11" x14ac:dyDescent="0.25">
      <c r="A125" t="s">
        <v>9</v>
      </c>
      <c r="B125" t="s">
        <v>8</v>
      </c>
      <c r="C125" t="s">
        <v>5</v>
      </c>
      <c r="D125" t="s">
        <v>29</v>
      </c>
      <c r="E125" t="str">
        <f>VLOOKUP(Table1[[#This Row],[specimen]],reference!$G$2:$H$17,2,FALSE)</f>
        <v>conform</v>
      </c>
      <c r="F125" t="s">
        <v>105</v>
      </c>
      <c r="G125" t="s">
        <v>50</v>
      </c>
      <c r="H125" s="4">
        <v>1</v>
      </c>
      <c r="I125" s="4">
        <f>VLOOKUP(Table1[[#This Row],[block]], 'pivot1 test order'!$R$5:$V$14, 5, FALSE)</f>
        <v>2</v>
      </c>
      <c r="J125" s="4" t="s">
        <v>79</v>
      </c>
      <c r="K125" t="s">
        <v>17</v>
      </c>
    </row>
    <row r="126" spans="1:11" x14ac:dyDescent="0.25">
      <c r="A126" t="s">
        <v>9</v>
      </c>
      <c r="B126" t="s">
        <v>8</v>
      </c>
      <c r="C126" t="s">
        <v>5</v>
      </c>
      <c r="D126" t="s">
        <v>30</v>
      </c>
      <c r="E126" t="str">
        <f>VLOOKUP(Table1[[#This Row],[specimen]],reference!$G$2:$H$17,2,FALSE)</f>
        <v>nonconform</v>
      </c>
      <c r="F126" t="s">
        <v>105</v>
      </c>
      <c r="G126" t="s">
        <v>50</v>
      </c>
      <c r="H126" s="4">
        <v>1</v>
      </c>
      <c r="I126" s="4">
        <f>VLOOKUP(Table1[[#This Row],[block]], 'pivot1 test order'!$R$5:$V$14, 5, FALSE)</f>
        <v>2</v>
      </c>
      <c r="J126" s="4" t="s">
        <v>80</v>
      </c>
      <c r="K126" t="s">
        <v>16</v>
      </c>
    </row>
    <row r="127" spans="1:11" x14ac:dyDescent="0.25">
      <c r="A127" t="s">
        <v>9</v>
      </c>
      <c r="B127" t="s">
        <v>8</v>
      </c>
      <c r="C127" t="s">
        <v>5</v>
      </c>
      <c r="D127" t="s">
        <v>31</v>
      </c>
      <c r="E127" t="str">
        <f>VLOOKUP(Table1[[#This Row],[specimen]],reference!$G$2:$H$17,2,FALSE)</f>
        <v>conform</v>
      </c>
      <c r="F127" t="s">
        <v>105</v>
      </c>
      <c r="G127" t="s">
        <v>50</v>
      </c>
      <c r="H127" s="4">
        <v>1</v>
      </c>
      <c r="I127" s="4">
        <f>VLOOKUP(Table1[[#This Row],[block]], 'pivot1 test order'!$R$5:$V$14, 5, FALSE)</f>
        <v>2</v>
      </c>
      <c r="J127" s="4" t="s">
        <v>81</v>
      </c>
      <c r="K127" t="s">
        <v>17</v>
      </c>
    </row>
    <row r="128" spans="1:11" x14ac:dyDescent="0.25">
      <c r="A128" t="s">
        <v>9</v>
      </c>
      <c r="B128" t="s">
        <v>8</v>
      </c>
      <c r="C128" t="s">
        <v>5</v>
      </c>
      <c r="D128" t="s">
        <v>32</v>
      </c>
      <c r="E128" t="str">
        <f>VLOOKUP(Table1[[#This Row],[specimen]],reference!$G$2:$H$17,2,FALSE)</f>
        <v>nonconform</v>
      </c>
      <c r="F128" t="s">
        <v>105</v>
      </c>
      <c r="G128" t="s">
        <v>50</v>
      </c>
      <c r="H128" s="4">
        <v>1</v>
      </c>
      <c r="I128" s="4">
        <f>VLOOKUP(Table1[[#This Row],[block]], 'pivot1 test order'!$R$5:$V$14, 5, FALSE)</f>
        <v>2</v>
      </c>
      <c r="J128" s="4" t="s">
        <v>82</v>
      </c>
      <c r="K128" t="s">
        <v>16</v>
      </c>
    </row>
    <row r="129" spans="1:11" x14ac:dyDescent="0.25">
      <c r="A129" t="s">
        <v>9</v>
      </c>
      <c r="B129" t="s">
        <v>8</v>
      </c>
      <c r="C129" t="s">
        <v>5</v>
      </c>
      <c r="D129" t="s">
        <v>33</v>
      </c>
      <c r="E129" t="str">
        <f>VLOOKUP(Table1[[#This Row],[specimen]],reference!$G$2:$H$17,2,FALSE)</f>
        <v>conform</v>
      </c>
      <c r="F129" t="s">
        <v>105</v>
      </c>
      <c r="G129" t="s">
        <v>50</v>
      </c>
      <c r="H129" s="4">
        <v>1</v>
      </c>
      <c r="I129" s="4">
        <f>VLOOKUP(Table1[[#This Row],[block]], 'pivot1 test order'!$R$5:$V$14, 5, FALSE)</f>
        <v>2</v>
      </c>
      <c r="J129" s="4" t="s">
        <v>83</v>
      </c>
      <c r="K129" t="s">
        <v>17</v>
      </c>
    </row>
    <row r="130" spans="1:11" x14ac:dyDescent="0.25">
      <c r="A130" t="s">
        <v>10</v>
      </c>
      <c r="B130" t="s">
        <v>8</v>
      </c>
      <c r="C130" t="s">
        <v>5</v>
      </c>
      <c r="D130" t="s">
        <v>18</v>
      </c>
      <c r="E130" t="str">
        <f>VLOOKUP(Table1[[#This Row],[specimen]],reference!$G$2:$H$17,2,FALSE)</f>
        <v>conform</v>
      </c>
      <c r="F130" t="s">
        <v>106</v>
      </c>
      <c r="G130" t="s">
        <v>50</v>
      </c>
      <c r="H130" s="4">
        <v>1</v>
      </c>
      <c r="I130" s="4">
        <f>VLOOKUP(Table1[[#This Row],[block]], 'pivot1 test order'!$R$5:$V$14, 5, FALSE)</f>
        <v>6</v>
      </c>
      <c r="J130" s="4" t="s">
        <v>68</v>
      </c>
      <c r="K130" t="s">
        <v>17</v>
      </c>
    </row>
    <row r="131" spans="1:11" x14ac:dyDescent="0.25">
      <c r="A131" t="s">
        <v>10</v>
      </c>
      <c r="B131" t="s">
        <v>8</v>
      </c>
      <c r="C131" t="s">
        <v>5</v>
      </c>
      <c r="D131" t="s">
        <v>19</v>
      </c>
      <c r="E131" t="str">
        <f>VLOOKUP(Table1[[#This Row],[specimen]],reference!$G$2:$H$17,2,FALSE)</f>
        <v>nonconform</v>
      </c>
      <c r="F131" t="s">
        <v>106</v>
      </c>
      <c r="G131" t="s">
        <v>50</v>
      </c>
      <c r="H131" s="4">
        <v>1</v>
      </c>
      <c r="I131" s="4">
        <f>VLOOKUP(Table1[[#This Row],[block]], 'pivot1 test order'!$R$5:$V$14, 5, FALSE)</f>
        <v>6</v>
      </c>
      <c r="J131" s="4" t="s">
        <v>69</v>
      </c>
      <c r="K131" t="s">
        <v>16</v>
      </c>
    </row>
    <row r="132" spans="1:11" x14ac:dyDescent="0.25">
      <c r="A132" t="s">
        <v>10</v>
      </c>
      <c r="B132" t="s">
        <v>8</v>
      </c>
      <c r="C132" t="s">
        <v>5</v>
      </c>
      <c r="D132" t="s">
        <v>20</v>
      </c>
      <c r="E132" t="str">
        <f>VLOOKUP(Table1[[#This Row],[specimen]],reference!$G$2:$H$17,2,FALSE)</f>
        <v>conform</v>
      </c>
      <c r="F132" t="s">
        <v>106</v>
      </c>
      <c r="G132" t="s">
        <v>50</v>
      </c>
      <c r="H132" s="4">
        <v>1</v>
      </c>
      <c r="I132" s="4">
        <f>VLOOKUP(Table1[[#This Row],[block]], 'pivot1 test order'!$R$5:$V$14, 5, FALSE)</f>
        <v>6</v>
      </c>
      <c r="J132" s="4" t="s">
        <v>70</v>
      </c>
      <c r="K132" t="s">
        <v>17</v>
      </c>
    </row>
    <row r="133" spans="1:11" x14ac:dyDescent="0.25">
      <c r="A133" t="s">
        <v>10</v>
      </c>
      <c r="B133" t="s">
        <v>8</v>
      </c>
      <c r="C133" t="s">
        <v>5</v>
      </c>
      <c r="D133" t="s">
        <v>21</v>
      </c>
      <c r="E133" t="str">
        <f>VLOOKUP(Table1[[#This Row],[specimen]],reference!$G$2:$H$17,2,FALSE)</f>
        <v>nonconform</v>
      </c>
      <c r="F133" t="s">
        <v>106</v>
      </c>
      <c r="G133" t="s">
        <v>50</v>
      </c>
      <c r="H133" s="4">
        <v>1</v>
      </c>
      <c r="I133" s="4">
        <f>VLOOKUP(Table1[[#This Row],[block]], 'pivot1 test order'!$R$5:$V$14, 5, FALSE)</f>
        <v>6</v>
      </c>
      <c r="J133" s="4" t="s">
        <v>71</v>
      </c>
      <c r="K133" t="s">
        <v>16</v>
      </c>
    </row>
    <row r="134" spans="1:11" x14ac:dyDescent="0.25">
      <c r="A134" t="s">
        <v>10</v>
      </c>
      <c r="B134" t="s">
        <v>8</v>
      </c>
      <c r="C134" t="s">
        <v>5</v>
      </c>
      <c r="D134" t="s">
        <v>22</v>
      </c>
      <c r="E134" t="str">
        <f>VLOOKUP(Table1[[#This Row],[specimen]],reference!$G$2:$H$17,2,FALSE)</f>
        <v>conform</v>
      </c>
      <c r="F134" t="s">
        <v>106</v>
      </c>
      <c r="G134" t="s">
        <v>50</v>
      </c>
      <c r="H134" s="4">
        <v>1</v>
      </c>
      <c r="I134" s="4">
        <f>VLOOKUP(Table1[[#This Row],[block]], 'pivot1 test order'!$R$5:$V$14, 5, FALSE)</f>
        <v>6</v>
      </c>
      <c r="J134" s="4" t="s">
        <v>72</v>
      </c>
      <c r="K134" t="s">
        <v>17</v>
      </c>
    </row>
    <row r="135" spans="1:11" x14ac:dyDescent="0.25">
      <c r="A135" t="s">
        <v>10</v>
      </c>
      <c r="B135" t="s">
        <v>8</v>
      </c>
      <c r="C135" t="s">
        <v>5</v>
      </c>
      <c r="D135" t="s">
        <v>23</v>
      </c>
      <c r="E135" t="str">
        <f>VLOOKUP(Table1[[#This Row],[specimen]],reference!$G$2:$H$17,2,FALSE)</f>
        <v>nonconform</v>
      </c>
      <c r="F135" t="s">
        <v>106</v>
      </c>
      <c r="G135" t="s">
        <v>50</v>
      </c>
      <c r="H135" s="4">
        <v>1</v>
      </c>
      <c r="I135" s="4">
        <f>VLOOKUP(Table1[[#This Row],[block]], 'pivot1 test order'!$R$5:$V$14, 5, FALSE)</f>
        <v>6</v>
      </c>
      <c r="J135" s="4" t="s">
        <v>73</v>
      </c>
      <c r="K135" t="s">
        <v>16</v>
      </c>
    </row>
    <row r="136" spans="1:11" x14ac:dyDescent="0.25">
      <c r="A136" t="s">
        <v>10</v>
      </c>
      <c r="B136" t="s">
        <v>8</v>
      </c>
      <c r="C136" t="s">
        <v>5</v>
      </c>
      <c r="D136" t="s">
        <v>24</v>
      </c>
      <c r="E136" t="str">
        <f>VLOOKUP(Table1[[#This Row],[specimen]],reference!$G$2:$H$17,2,FALSE)</f>
        <v>nonconform</v>
      </c>
      <c r="F136" t="s">
        <v>106</v>
      </c>
      <c r="G136" t="s">
        <v>50</v>
      </c>
      <c r="H136" s="4">
        <v>1</v>
      </c>
      <c r="I136" s="4">
        <f>VLOOKUP(Table1[[#This Row],[block]], 'pivot1 test order'!$R$5:$V$14, 5, FALSE)</f>
        <v>6</v>
      </c>
      <c r="J136" s="4" t="s">
        <v>74</v>
      </c>
      <c r="K136" t="s">
        <v>16</v>
      </c>
    </row>
    <row r="137" spans="1:11" x14ac:dyDescent="0.25">
      <c r="A137" t="s">
        <v>10</v>
      </c>
      <c r="B137" t="s">
        <v>8</v>
      </c>
      <c r="C137" t="s">
        <v>5</v>
      </c>
      <c r="D137" t="s">
        <v>25</v>
      </c>
      <c r="E137" t="str">
        <f>VLOOKUP(Table1[[#This Row],[specimen]],reference!$G$2:$H$17,2,FALSE)</f>
        <v>nonconform</v>
      </c>
      <c r="F137" t="s">
        <v>106</v>
      </c>
      <c r="G137" t="s">
        <v>50</v>
      </c>
      <c r="H137" s="4">
        <v>1</v>
      </c>
      <c r="I137" s="4">
        <f>VLOOKUP(Table1[[#This Row],[block]], 'pivot1 test order'!$R$5:$V$14, 5, FALSE)</f>
        <v>6</v>
      </c>
      <c r="J137" s="4" t="s">
        <v>75</v>
      </c>
      <c r="K137" t="s">
        <v>16</v>
      </c>
    </row>
    <row r="138" spans="1:11" x14ac:dyDescent="0.25">
      <c r="A138" t="s">
        <v>10</v>
      </c>
      <c r="B138" t="s">
        <v>8</v>
      </c>
      <c r="C138" t="s">
        <v>5</v>
      </c>
      <c r="D138" t="s">
        <v>26</v>
      </c>
      <c r="E138" t="str">
        <f>VLOOKUP(Table1[[#This Row],[specimen]],reference!$G$2:$H$17,2,FALSE)</f>
        <v>conform</v>
      </c>
      <c r="F138" t="s">
        <v>107</v>
      </c>
      <c r="G138" t="s">
        <v>50</v>
      </c>
      <c r="H138" s="4">
        <v>1</v>
      </c>
      <c r="I138" s="4">
        <f>VLOOKUP(Table1[[#This Row],[block]], 'pivot1 test order'!$R$5:$V$14, 5, FALSE)</f>
        <v>3</v>
      </c>
      <c r="J138" s="4" t="s">
        <v>76</v>
      </c>
      <c r="K138" t="s">
        <v>17</v>
      </c>
    </row>
    <row r="139" spans="1:11" x14ac:dyDescent="0.25">
      <c r="A139" t="s">
        <v>10</v>
      </c>
      <c r="B139" t="s">
        <v>8</v>
      </c>
      <c r="C139" t="s">
        <v>5</v>
      </c>
      <c r="D139" t="s">
        <v>27</v>
      </c>
      <c r="E139" t="str">
        <f>VLOOKUP(Table1[[#This Row],[specimen]],reference!$G$2:$H$17,2,FALSE)</f>
        <v>nonconform</v>
      </c>
      <c r="F139" t="s">
        <v>107</v>
      </c>
      <c r="G139" t="s">
        <v>50</v>
      </c>
      <c r="H139" s="4">
        <v>1</v>
      </c>
      <c r="I139" s="4">
        <f>VLOOKUP(Table1[[#This Row],[block]], 'pivot1 test order'!$R$5:$V$14, 5, FALSE)</f>
        <v>3</v>
      </c>
      <c r="J139" s="4" t="s">
        <v>77</v>
      </c>
      <c r="K139" t="s">
        <v>16</v>
      </c>
    </row>
    <row r="140" spans="1:11" x14ac:dyDescent="0.25">
      <c r="A140" t="s">
        <v>10</v>
      </c>
      <c r="B140" t="s">
        <v>8</v>
      </c>
      <c r="C140" t="s">
        <v>5</v>
      </c>
      <c r="D140" t="s">
        <v>28</v>
      </c>
      <c r="E140" t="str">
        <f>VLOOKUP(Table1[[#This Row],[specimen]],reference!$G$2:$H$17,2,FALSE)</f>
        <v>nonconform</v>
      </c>
      <c r="F140" t="s">
        <v>107</v>
      </c>
      <c r="G140" t="s">
        <v>50</v>
      </c>
      <c r="H140" s="4">
        <v>1</v>
      </c>
      <c r="I140" s="4">
        <f>VLOOKUP(Table1[[#This Row],[block]], 'pivot1 test order'!$R$5:$V$14, 5, FALSE)</f>
        <v>3</v>
      </c>
      <c r="J140" s="4" t="s">
        <v>78</v>
      </c>
      <c r="K140" t="s">
        <v>16</v>
      </c>
    </row>
    <row r="141" spans="1:11" x14ac:dyDescent="0.25">
      <c r="A141" t="s">
        <v>10</v>
      </c>
      <c r="B141" t="s">
        <v>8</v>
      </c>
      <c r="C141" t="s">
        <v>5</v>
      </c>
      <c r="D141" t="s">
        <v>29</v>
      </c>
      <c r="E141" t="str">
        <f>VLOOKUP(Table1[[#This Row],[specimen]],reference!$G$2:$H$17,2,FALSE)</f>
        <v>conform</v>
      </c>
      <c r="F141" t="s">
        <v>107</v>
      </c>
      <c r="G141" t="s">
        <v>50</v>
      </c>
      <c r="H141" s="4">
        <v>1</v>
      </c>
      <c r="I141" s="4">
        <f>VLOOKUP(Table1[[#This Row],[block]], 'pivot1 test order'!$R$5:$V$14, 5, FALSE)</f>
        <v>3</v>
      </c>
      <c r="J141" s="4" t="s">
        <v>79</v>
      </c>
      <c r="K141" t="s">
        <v>17</v>
      </c>
    </row>
    <row r="142" spans="1:11" x14ac:dyDescent="0.25">
      <c r="A142" t="s">
        <v>10</v>
      </c>
      <c r="B142" t="s">
        <v>8</v>
      </c>
      <c r="C142" t="s">
        <v>5</v>
      </c>
      <c r="D142" t="s">
        <v>30</v>
      </c>
      <c r="E142" t="str">
        <f>VLOOKUP(Table1[[#This Row],[specimen]],reference!$G$2:$H$17,2,FALSE)</f>
        <v>nonconform</v>
      </c>
      <c r="F142" t="s">
        <v>107</v>
      </c>
      <c r="G142" t="s">
        <v>50</v>
      </c>
      <c r="H142" s="4">
        <v>1</v>
      </c>
      <c r="I142" s="4">
        <f>VLOOKUP(Table1[[#This Row],[block]], 'pivot1 test order'!$R$5:$V$14, 5, FALSE)</f>
        <v>3</v>
      </c>
      <c r="J142" s="4" t="s">
        <v>80</v>
      </c>
      <c r="K142" t="s">
        <v>16</v>
      </c>
    </row>
    <row r="143" spans="1:11" x14ac:dyDescent="0.25">
      <c r="A143" t="s">
        <v>10</v>
      </c>
      <c r="B143" t="s">
        <v>8</v>
      </c>
      <c r="C143" t="s">
        <v>5</v>
      </c>
      <c r="D143" t="s">
        <v>31</v>
      </c>
      <c r="E143" t="str">
        <f>VLOOKUP(Table1[[#This Row],[specimen]],reference!$G$2:$H$17,2,FALSE)</f>
        <v>conform</v>
      </c>
      <c r="F143" t="s">
        <v>107</v>
      </c>
      <c r="G143" t="s">
        <v>50</v>
      </c>
      <c r="H143" s="4">
        <v>1</v>
      </c>
      <c r="I143" s="4">
        <f>VLOOKUP(Table1[[#This Row],[block]], 'pivot1 test order'!$R$5:$V$14, 5, FALSE)</f>
        <v>3</v>
      </c>
      <c r="J143" s="4" t="s">
        <v>81</v>
      </c>
      <c r="K143" t="s">
        <v>17</v>
      </c>
    </row>
    <row r="144" spans="1:11" x14ac:dyDescent="0.25">
      <c r="A144" t="s">
        <v>10</v>
      </c>
      <c r="B144" t="s">
        <v>8</v>
      </c>
      <c r="C144" t="s">
        <v>5</v>
      </c>
      <c r="D144" t="s">
        <v>32</v>
      </c>
      <c r="E144" t="str">
        <f>VLOOKUP(Table1[[#This Row],[specimen]],reference!$G$2:$H$17,2,FALSE)</f>
        <v>nonconform</v>
      </c>
      <c r="F144" t="s">
        <v>107</v>
      </c>
      <c r="G144" t="s">
        <v>50</v>
      </c>
      <c r="H144" s="4">
        <v>1</v>
      </c>
      <c r="I144" s="4">
        <f>VLOOKUP(Table1[[#This Row],[block]], 'pivot1 test order'!$R$5:$V$14, 5, FALSE)</f>
        <v>3</v>
      </c>
      <c r="J144" s="4" t="s">
        <v>82</v>
      </c>
      <c r="K144" t="s">
        <v>16</v>
      </c>
    </row>
    <row r="145" spans="1:11" x14ac:dyDescent="0.25">
      <c r="A145" t="s">
        <v>10</v>
      </c>
      <c r="B145" t="s">
        <v>8</v>
      </c>
      <c r="C145" t="s">
        <v>5</v>
      </c>
      <c r="D145" t="s">
        <v>33</v>
      </c>
      <c r="E145" t="str">
        <f>VLOOKUP(Table1[[#This Row],[specimen]],reference!$G$2:$H$17,2,FALSE)</f>
        <v>conform</v>
      </c>
      <c r="F145" t="s">
        <v>107</v>
      </c>
      <c r="G145" t="s">
        <v>50</v>
      </c>
      <c r="H145" s="4">
        <v>1</v>
      </c>
      <c r="I145" s="4">
        <f>VLOOKUP(Table1[[#This Row],[block]], 'pivot1 test order'!$R$5:$V$14, 5, FALSE)</f>
        <v>3</v>
      </c>
      <c r="J145" s="4" t="s">
        <v>83</v>
      </c>
      <c r="K145" t="s">
        <v>16</v>
      </c>
    </row>
    <row r="146" spans="1:11" x14ac:dyDescent="0.25">
      <c r="A146" t="s">
        <v>11</v>
      </c>
      <c r="B146" t="s">
        <v>8</v>
      </c>
      <c r="C146" t="s">
        <v>6</v>
      </c>
      <c r="D146" t="s">
        <v>18</v>
      </c>
      <c r="E146" t="str">
        <f>VLOOKUP(Table1[[#This Row],[specimen]],reference!$G$2:$H$17,2,FALSE)</f>
        <v>conform</v>
      </c>
      <c r="F146" t="s">
        <v>108</v>
      </c>
      <c r="G146" t="s">
        <v>50</v>
      </c>
      <c r="H146" s="4">
        <v>1</v>
      </c>
      <c r="I146" s="4">
        <f>VLOOKUP(Table1[[#This Row],[block]], 'pivot1 test order'!$R$5:$V$14, 5, FALSE)</f>
        <v>4</v>
      </c>
      <c r="J146" s="4" t="s">
        <v>68</v>
      </c>
      <c r="K146" t="s">
        <v>17</v>
      </c>
    </row>
    <row r="147" spans="1:11" x14ac:dyDescent="0.25">
      <c r="A147" t="s">
        <v>11</v>
      </c>
      <c r="B147" t="s">
        <v>8</v>
      </c>
      <c r="C147" t="s">
        <v>6</v>
      </c>
      <c r="D147" t="s">
        <v>19</v>
      </c>
      <c r="E147" t="str">
        <f>VLOOKUP(Table1[[#This Row],[specimen]],reference!$G$2:$H$17,2,FALSE)</f>
        <v>nonconform</v>
      </c>
      <c r="F147" t="s">
        <v>108</v>
      </c>
      <c r="G147" t="s">
        <v>50</v>
      </c>
      <c r="H147" s="4">
        <v>1</v>
      </c>
      <c r="I147" s="4">
        <f>VLOOKUP(Table1[[#This Row],[block]], 'pivot1 test order'!$R$5:$V$14, 5, FALSE)</f>
        <v>4</v>
      </c>
      <c r="J147" s="4" t="s">
        <v>69</v>
      </c>
      <c r="K147" t="s">
        <v>16</v>
      </c>
    </row>
    <row r="148" spans="1:11" x14ac:dyDescent="0.25">
      <c r="A148" t="s">
        <v>11</v>
      </c>
      <c r="B148" t="s">
        <v>8</v>
      </c>
      <c r="C148" t="s">
        <v>6</v>
      </c>
      <c r="D148" t="s">
        <v>20</v>
      </c>
      <c r="E148" t="str">
        <f>VLOOKUP(Table1[[#This Row],[specimen]],reference!$G$2:$H$17,2,FALSE)</f>
        <v>conform</v>
      </c>
      <c r="F148" t="s">
        <v>108</v>
      </c>
      <c r="G148" t="s">
        <v>50</v>
      </c>
      <c r="H148" s="4">
        <v>1</v>
      </c>
      <c r="I148" s="4">
        <f>VLOOKUP(Table1[[#This Row],[block]], 'pivot1 test order'!$R$5:$V$14, 5, FALSE)</f>
        <v>4</v>
      </c>
      <c r="J148" s="4" t="s">
        <v>70</v>
      </c>
      <c r="K148" t="s">
        <v>17</v>
      </c>
    </row>
    <row r="149" spans="1:11" x14ac:dyDescent="0.25">
      <c r="A149" t="s">
        <v>11</v>
      </c>
      <c r="B149" t="s">
        <v>8</v>
      </c>
      <c r="C149" t="s">
        <v>6</v>
      </c>
      <c r="D149" t="s">
        <v>21</v>
      </c>
      <c r="E149" t="str">
        <f>VLOOKUP(Table1[[#This Row],[specimen]],reference!$G$2:$H$17,2,FALSE)</f>
        <v>nonconform</v>
      </c>
      <c r="F149" t="s">
        <v>108</v>
      </c>
      <c r="G149" t="s">
        <v>50</v>
      </c>
      <c r="H149" s="4">
        <v>1</v>
      </c>
      <c r="I149" s="4">
        <f>VLOOKUP(Table1[[#This Row],[block]], 'pivot1 test order'!$R$5:$V$14, 5, FALSE)</f>
        <v>4</v>
      </c>
      <c r="J149" s="4" t="s">
        <v>71</v>
      </c>
      <c r="K149" t="s">
        <v>16</v>
      </c>
    </row>
    <row r="150" spans="1:11" x14ac:dyDescent="0.25">
      <c r="A150" t="s">
        <v>11</v>
      </c>
      <c r="B150" t="s">
        <v>8</v>
      </c>
      <c r="C150" t="s">
        <v>6</v>
      </c>
      <c r="D150" t="s">
        <v>22</v>
      </c>
      <c r="E150" t="str">
        <f>VLOOKUP(Table1[[#This Row],[specimen]],reference!$G$2:$H$17,2,FALSE)</f>
        <v>conform</v>
      </c>
      <c r="F150" t="s">
        <v>108</v>
      </c>
      <c r="G150" t="s">
        <v>50</v>
      </c>
      <c r="H150" s="4">
        <v>1</v>
      </c>
      <c r="I150" s="4">
        <f>VLOOKUP(Table1[[#This Row],[block]], 'pivot1 test order'!$R$5:$V$14, 5, FALSE)</f>
        <v>4</v>
      </c>
      <c r="J150" s="4" t="s">
        <v>72</v>
      </c>
      <c r="K150" t="s">
        <v>17</v>
      </c>
    </row>
    <row r="151" spans="1:11" x14ac:dyDescent="0.25">
      <c r="A151" t="s">
        <v>11</v>
      </c>
      <c r="B151" t="s">
        <v>8</v>
      </c>
      <c r="C151" t="s">
        <v>6</v>
      </c>
      <c r="D151" t="s">
        <v>23</v>
      </c>
      <c r="E151" t="str">
        <f>VLOOKUP(Table1[[#This Row],[specimen]],reference!$G$2:$H$17,2,FALSE)</f>
        <v>nonconform</v>
      </c>
      <c r="F151" t="s">
        <v>108</v>
      </c>
      <c r="G151" t="s">
        <v>50</v>
      </c>
      <c r="H151" s="4">
        <v>1</v>
      </c>
      <c r="I151" s="4">
        <f>VLOOKUP(Table1[[#This Row],[block]], 'pivot1 test order'!$R$5:$V$14, 5, FALSE)</f>
        <v>4</v>
      </c>
      <c r="J151" s="4" t="s">
        <v>73</v>
      </c>
      <c r="K151" t="s">
        <v>16</v>
      </c>
    </row>
    <row r="152" spans="1:11" x14ac:dyDescent="0.25">
      <c r="A152" t="s">
        <v>11</v>
      </c>
      <c r="B152" t="s">
        <v>8</v>
      </c>
      <c r="C152" t="s">
        <v>6</v>
      </c>
      <c r="D152" t="s">
        <v>24</v>
      </c>
      <c r="E152" t="str">
        <f>VLOOKUP(Table1[[#This Row],[specimen]],reference!$G$2:$H$17,2,FALSE)</f>
        <v>nonconform</v>
      </c>
      <c r="F152" t="s">
        <v>108</v>
      </c>
      <c r="G152" t="s">
        <v>50</v>
      </c>
      <c r="H152" s="4">
        <v>1</v>
      </c>
      <c r="I152" s="4">
        <f>VLOOKUP(Table1[[#This Row],[block]], 'pivot1 test order'!$R$5:$V$14, 5, FALSE)</f>
        <v>4</v>
      </c>
      <c r="J152" s="4" t="s">
        <v>74</v>
      </c>
      <c r="K152" t="s">
        <v>16</v>
      </c>
    </row>
    <row r="153" spans="1:11" x14ac:dyDescent="0.25">
      <c r="A153" t="s">
        <v>11</v>
      </c>
      <c r="B153" t="s">
        <v>8</v>
      </c>
      <c r="C153" t="s">
        <v>6</v>
      </c>
      <c r="D153" t="s">
        <v>25</v>
      </c>
      <c r="E153" t="str">
        <f>VLOOKUP(Table1[[#This Row],[specimen]],reference!$G$2:$H$17,2,FALSE)</f>
        <v>nonconform</v>
      </c>
      <c r="F153" t="s">
        <v>108</v>
      </c>
      <c r="G153" t="s">
        <v>50</v>
      </c>
      <c r="H153" s="4">
        <v>1</v>
      </c>
      <c r="I153" s="4">
        <f>VLOOKUP(Table1[[#This Row],[block]], 'pivot1 test order'!$R$5:$V$14, 5, FALSE)</f>
        <v>4</v>
      </c>
      <c r="J153" s="4" t="s">
        <v>75</v>
      </c>
      <c r="K153" t="s">
        <v>17</v>
      </c>
    </row>
    <row r="154" spans="1:11" x14ac:dyDescent="0.25">
      <c r="A154" t="s">
        <v>11</v>
      </c>
      <c r="B154" t="s">
        <v>8</v>
      </c>
      <c r="C154" t="s">
        <v>6</v>
      </c>
      <c r="D154" t="s">
        <v>26</v>
      </c>
      <c r="E154" t="str">
        <f>VLOOKUP(Table1[[#This Row],[specimen]],reference!$G$2:$H$17,2,FALSE)</f>
        <v>conform</v>
      </c>
      <c r="F154" t="s">
        <v>109</v>
      </c>
      <c r="G154" t="s">
        <v>50</v>
      </c>
      <c r="H154" s="4">
        <v>1</v>
      </c>
      <c r="I154" s="4">
        <f>VLOOKUP(Table1[[#This Row],[block]], 'pivot1 test order'!$R$5:$V$14, 5, FALSE)</f>
        <v>1</v>
      </c>
      <c r="J154" s="4" t="s">
        <v>76</v>
      </c>
      <c r="K154" t="s">
        <v>16</v>
      </c>
    </row>
    <row r="155" spans="1:11" x14ac:dyDescent="0.25">
      <c r="A155" t="s">
        <v>11</v>
      </c>
      <c r="B155" t="s">
        <v>8</v>
      </c>
      <c r="C155" t="s">
        <v>6</v>
      </c>
      <c r="D155" t="s">
        <v>27</v>
      </c>
      <c r="E155" t="str">
        <f>VLOOKUP(Table1[[#This Row],[specimen]],reference!$G$2:$H$17,2,FALSE)</f>
        <v>nonconform</v>
      </c>
      <c r="F155" t="s">
        <v>109</v>
      </c>
      <c r="G155" t="s">
        <v>50</v>
      </c>
      <c r="H155" s="4">
        <v>1</v>
      </c>
      <c r="I155" s="4">
        <f>VLOOKUP(Table1[[#This Row],[block]], 'pivot1 test order'!$R$5:$V$14, 5, FALSE)</f>
        <v>1</v>
      </c>
      <c r="J155" s="4" t="s">
        <v>77</v>
      </c>
      <c r="K155" t="s">
        <v>16</v>
      </c>
    </row>
    <row r="156" spans="1:11" x14ac:dyDescent="0.25">
      <c r="A156" t="s">
        <v>11</v>
      </c>
      <c r="B156" t="s">
        <v>8</v>
      </c>
      <c r="C156" t="s">
        <v>6</v>
      </c>
      <c r="D156" t="s">
        <v>28</v>
      </c>
      <c r="E156" t="str">
        <f>VLOOKUP(Table1[[#This Row],[specimen]],reference!$G$2:$H$17,2,FALSE)</f>
        <v>nonconform</v>
      </c>
      <c r="F156" t="s">
        <v>109</v>
      </c>
      <c r="G156" t="s">
        <v>50</v>
      </c>
      <c r="H156" s="4">
        <v>1</v>
      </c>
      <c r="I156" s="4">
        <f>VLOOKUP(Table1[[#This Row],[block]], 'pivot1 test order'!$R$5:$V$14, 5, FALSE)</f>
        <v>1</v>
      </c>
      <c r="J156" s="4" t="s">
        <v>78</v>
      </c>
      <c r="K156" t="s">
        <v>16</v>
      </c>
    </row>
    <row r="157" spans="1:11" x14ac:dyDescent="0.25">
      <c r="A157" t="s">
        <v>11</v>
      </c>
      <c r="B157" t="s">
        <v>8</v>
      </c>
      <c r="C157" t="s">
        <v>6</v>
      </c>
      <c r="D157" t="s">
        <v>29</v>
      </c>
      <c r="E157" t="str">
        <f>VLOOKUP(Table1[[#This Row],[specimen]],reference!$G$2:$H$17,2,FALSE)</f>
        <v>conform</v>
      </c>
      <c r="F157" t="s">
        <v>109</v>
      </c>
      <c r="G157" t="s">
        <v>50</v>
      </c>
      <c r="H157" s="4">
        <v>1</v>
      </c>
      <c r="I157" s="4">
        <f>VLOOKUP(Table1[[#This Row],[block]], 'pivot1 test order'!$R$5:$V$14, 5, FALSE)</f>
        <v>1</v>
      </c>
      <c r="J157" s="4" t="s">
        <v>79</v>
      </c>
      <c r="K157" t="s">
        <v>17</v>
      </c>
    </row>
    <row r="158" spans="1:11" x14ac:dyDescent="0.25">
      <c r="A158" t="s">
        <v>11</v>
      </c>
      <c r="B158" t="s">
        <v>8</v>
      </c>
      <c r="C158" t="s">
        <v>6</v>
      </c>
      <c r="D158" t="s">
        <v>30</v>
      </c>
      <c r="E158" t="str">
        <f>VLOOKUP(Table1[[#This Row],[specimen]],reference!$G$2:$H$17,2,FALSE)</f>
        <v>nonconform</v>
      </c>
      <c r="F158" t="s">
        <v>109</v>
      </c>
      <c r="G158" t="s">
        <v>50</v>
      </c>
      <c r="H158" s="4">
        <v>1</v>
      </c>
      <c r="I158" s="4">
        <f>VLOOKUP(Table1[[#This Row],[block]], 'pivot1 test order'!$R$5:$V$14, 5, FALSE)</f>
        <v>1</v>
      </c>
      <c r="J158" s="4" t="s">
        <v>80</v>
      </c>
      <c r="K158" t="s">
        <v>16</v>
      </c>
    </row>
    <row r="159" spans="1:11" x14ac:dyDescent="0.25">
      <c r="A159" t="s">
        <v>11</v>
      </c>
      <c r="B159" t="s">
        <v>8</v>
      </c>
      <c r="C159" t="s">
        <v>6</v>
      </c>
      <c r="D159" t="s">
        <v>31</v>
      </c>
      <c r="E159" t="str">
        <f>VLOOKUP(Table1[[#This Row],[specimen]],reference!$G$2:$H$17,2,FALSE)</f>
        <v>conform</v>
      </c>
      <c r="F159" t="s">
        <v>109</v>
      </c>
      <c r="G159" t="s">
        <v>50</v>
      </c>
      <c r="H159" s="4">
        <v>1</v>
      </c>
      <c r="I159" s="4">
        <f>VLOOKUP(Table1[[#This Row],[block]], 'pivot1 test order'!$R$5:$V$14, 5, FALSE)</f>
        <v>1</v>
      </c>
      <c r="J159" s="4" t="s">
        <v>81</v>
      </c>
      <c r="K159" t="s">
        <v>17</v>
      </c>
    </row>
    <row r="160" spans="1:11" x14ac:dyDescent="0.25">
      <c r="A160" t="s">
        <v>11</v>
      </c>
      <c r="B160" t="s">
        <v>8</v>
      </c>
      <c r="C160" t="s">
        <v>6</v>
      </c>
      <c r="D160" t="s">
        <v>32</v>
      </c>
      <c r="E160" t="str">
        <f>VLOOKUP(Table1[[#This Row],[specimen]],reference!$G$2:$H$17,2,FALSE)</f>
        <v>nonconform</v>
      </c>
      <c r="F160" t="s">
        <v>109</v>
      </c>
      <c r="G160" t="s">
        <v>50</v>
      </c>
      <c r="H160" s="4">
        <v>1</v>
      </c>
      <c r="I160" s="4">
        <f>VLOOKUP(Table1[[#This Row],[block]], 'pivot1 test order'!$R$5:$V$14, 5, FALSE)</f>
        <v>1</v>
      </c>
      <c r="J160" s="4" t="s">
        <v>82</v>
      </c>
      <c r="K160" t="s">
        <v>16</v>
      </c>
    </row>
    <row r="161" spans="1:11" x14ac:dyDescent="0.25">
      <c r="A161" t="s">
        <v>11</v>
      </c>
      <c r="B161" t="s">
        <v>8</v>
      </c>
      <c r="C161" t="s">
        <v>6</v>
      </c>
      <c r="D161" t="s">
        <v>33</v>
      </c>
      <c r="E161" t="str">
        <f>VLOOKUP(Table1[[#This Row],[specimen]],reference!$G$2:$H$17,2,FALSE)</f>
        <v>conform</v>
      </c>
      <c r="F161" t="s">
        <v>109</v>
      </c>
      <c r="G161" t="s">
        <v>50</v>
      </c>
      <c r="H161" s="4">
        <v>1</v>
      </c>
      <c r="I161" s="4">
        <f>VLOOKUP(Table1[[#This Row],[block]], 'pivot1 test order'!$R$5:$V$14, 5, FALSE)</f>
        <v>1</v>
      </c>
      <c r="J161" s="4" t="s">
        <v>83</v>
      </c>
      <c r="K161" t="s">
        <v>17</v>
      </c>
    </row>
    <row r="162" spans="1:11" x14ac:dyDescent="0.25">
      <c r="A162" t="s">
        <v>2</v>
      </c>
      <c r="B162" t="s">
        <v>7</v>
      </c>
      <c r="C162" t="s">
        <v>5</v>
      </c>
      <c r="D162" t="s">
        <v>18</v>
      </c>
      <c r="E162" t="str">
        <f>VLOOKUP(Table1[[#This Row],[specimen]],reference!$G$2:$H$17,2,FALSE)</f>
        <v>conform</v>
      </c>
      <c r="F162" t="s">
        <v>100</v>
      </c>
      <c r="G162" t="s">
        <v>51</v>
      </c>
      <c r="H162" s="4">
        <v>1</v>
      </c>
      <c r="I162" s="4">
        <f>VLOOKUP(Table1[[#This Row],[block]], 'pivot1 test order'!$R$5:$V$14, 5, FALSE)</f>
        <v>4</v>
      </c>
      <c r="J162" s="4" t="s">
        <v>84</v>
      </c>
      <c r="K162" t="s">
        <v>17</v>
      </c>
    </row>
    <row r="163" spans="1:11" x14ac:dyDescent="0.25">
      <c r="A163" t="s">
        <v>2</v>
      </c>
      <c r="B163" t="s">
        <v>7</v>
      </c>
      <c r="C163" t="s">
        <v>5</v>
      </c>
      <c r="D163" t="s">
        <v>19</v>
      </c>
      <c r="E163" t="str">
        <f>VLOOKUP(Table1[[#This Row],[specimen]],reference!$G$2:$H$17,2,FALSE)</f>
        <v>nonconform</v>
      </c>
      <c r="F163" t="s">
        <v>100</v>
      </c>
      <c r="G163" t="s">
        <v>51</v>
      </c>
      <c r="H163" s="4">
        <v>1</v>
      </c>
      <c r="I163" s="4">
        <f>VLOOKUP(Table1[[#This Row],[block]], 'pivot1 test order'!$R$5:$V$14, 5, FALSE)</f>
        <v>4</v>
      </c>
      <c r="J163" s="4" t="s">
        <v>85</v>
      </c>
      <c r="K163" t="s">
        <v>16</v>
      </c>
    </row>
    <row r="164" spans="1:11" x14ac:dyDescent="0.25">
      <c r="A164" t="s">
        <v>2</v>
      </c>
      <c r="B164" t="s">
        <v>7</v>
      </c>
      <c r="C164" t="s">
        <v>5</v>
      </c>
      <c r="D164" t="s">
        <v>20</v>
      </c>
      <c r="E164" t="str">
        <f>VLOOKUP(Table1[[#This Row],[specimen]],reference!$G$2:$H$17,2,FALSE)</f>
        <v>conform</v>
      </c>
      <c r="F164" t="s">
        <v>100</v>
      </c>
      <c r="G164" t="s">
        <v>51</v>
      </c>
      <c r="H164" s="4">
        <v>1</v>
      </c>
      <c r="I164" s="4">
        <f>VLOOKUP(Table1[[#This Row],[block]], 'pivot1 test order'!$R$5:$V$14, 5, FALSE)</f>
        <v>4</v>
      </c>
      <c r="J164" s="4" t="s">
        <v>86</v>
      </c>
      <c r="K164" t="s">
        <v>17</v>
      </c>
    </row>
    <row r="165" spans="1:11" x14ac:dyDescent="0.25">
      <c r="A165" t="s">
        <v>2</v>
      </c>
      <c r="B165" t="s">
        <v>7</v>
      </c>
      <c r="C165" t="s">
        <v>5</v>
      </c>
      <c r="D165" t="s">
        <v>21</v>
      </c>
      <c r="E165" t="str">
        <f>VLOOKUP(Table1[[#This Row],[specimen]],reference!$G$2:$H$17,2,FALSE)</f>
        <v>nonconform</v>
      </c>
      <c r="F165" t="s">
        <v>100</v>
      </c>
      <c r="G165" t="s">
        <v>51</v>
      </c>
      <c r="H165" s="4">
        <v>1</v>
      </c>
      <c r="I165" s="4">
        <f>VLOOKUP(Table1[[#This Row],[block]], 'pivot1 test order'!$R$5:$V$14, 5, FALSE)</f>
        <v>4</v>
      </c>
      <c r="J165" s="4" t="s">
        <v>87</v>
      </c>
      <c r="K165" t="s">
        <v>16</v>
      </c>
    </row>
    <row r="166" spans="1:11" x14ac:dyDescent="0.25">
      <c r="A166" t="s">
        <v>2</v>
      </c>
      <c r="B166" t="s">
        <v>7</v>
      </c>
      <c r="C166" t="s">
        <v>5</v>
      </c>
      <c r="D166" t="s">
        <v>22</v>
      </c>
      <c r="E166" t="str">
        <f>VLOOKUP(Table1[[#This Row],[specimen]],reference!$G$2:$H$17,2,FALSE)</f>
        <v>conform</v>
      </c>
      <c r="F166" t="s">
        <v>100</v>
      </c>
      <c r="G166" t="s">
        <v>51</v>
      </c>
      <c r="H166" s="4">
        <v>1</v>
      </c>
      <c r="I166" s="4">
        <f>VLOOKUP(Table1[[#This Row],[block]], 'pivot1 test order'!$R$5:$V$14, 5, FALSE)</f>
        <v>4</v>
      </c>
      <c r="J166" s="4" t="s">
        <v>88</v>
      </c>
      <c r="K166" t="s">
        <v>17</v>
      </c>
    </row>
    <row r="167" spans="1:11" x14ac:dyDescent="0.25">
      <c r="A167" t="s">
        <v>2</v>
      </c>
      <c r="B167" t="s">
        <v>7</v>
      </c>
      <c r="C167" t="s">
        <v>5</v>
      </c>
      <c r="D167" t="s">
        <v>23</v>
      </c>
      <c r="E167" t="str">
        <f>VLOOKUP(Table1[[#This Row],[specimen]],reference!$G$2:$H$17,2,FALSE)</f>
        <v>nonconform</v>
      </c>
      <c r="F167" t="s">
        <v>100</v>
      </c>
      <c r="G167" t="s">
        <v>51</v>
      </c>
      <c r="H167" s="4">
        <v>1</v>
      </c>
      <c r="I167" s="4">
        <f>VLOOKUP(Table1[[#This Row],[block]], 'pivot1 test order'!$R$5:$V$14, 5, FALSE)</f>
        <v>4</v>
      </c>
      <c r="J167" s="4" t="s">
        <v>89</v>
      </c>
      <c r="K167" t="s">
        <v>16</v>
      </c>
    </row>
    <row r="168" spans="1:11" x14ac:dyDescent="0.25">
      <c r="A168" t="s">
        <v>2</v>
      </c>
      <c r="B168" t="s">
        <v>7</v>
      </c>
      <c r="C168" t="s">
        <v>5</v>
      </c>
      <c r="D168" t="s">
        <v>24</v>
      </c>
      <c r="E168" t="str">
        <f>VLOOKUP(Table1[[#This Row],[specimen]],reference!$G$2:$H$17,2,FALSE)</f>
        <v>nonconform</v>
      </c>
      <c r="F168" t="s">
        <v>100</v>
      </c>
      <c r="G168" t="s">
        <v>51</v>
      </c>
      <c r="H168" s="4">
        <v>1</v>
      </c>
      <c r="I168" s="4">
        <f>VLOOKUP(Table1[[#This Row],[block]], 'pivot1 test order'!$R$5:$V$14, 5, FALSE)</f>
        <v>4</v>
      </c>
      <c r="J168" s="4" t="s">
        <v>90</v>
      </c>
      <c r="K168" t="s">
        <v>16</v>
      </c>
    </row>
    <row r="169" spans="1:11" x14ac:dyDescent="0.25">
      <c r="A169" t="s">
        <v>2</v>
      </c>
      <c r="B169" t="s">
        <v>7</v>
      </c>
      <c r="C169" t="s">
        <v>5</v>
      </c>
      <c r="D169" t="s">
        <v>25</v>
      </c>
      <c r="E169" t="str">
        <f>VLOOKUP(Table1[[#This Row],[specimen]],reference!$G$2:$H$17,2,FALSE)</f>
        <v>nonconform</v>
      </c>
      <c r="F169" t="s">
        <v>100</v>
      </c>
      <c r="G169" t="s">
        <v>51</v>
      </c>
      <c r="H169" s="4">
        <v>1</v>
      </c>
      <c r="I169" s="4">
        <f>VLOOKUP(Table1[[#This Row],[block]], 'pivot1 test order'!$R$5:$V$14, 5, FALSE)</f>
        <v>4</v>
      </c>
      <c r="J169" s="4" t="s">
        <v>91</v>
      </c>
      <c r="K169" t="s">
        <v>16</v>
      </c>
    </row>
    <row r="170" spans="1:11" x14ac:dyDescent="0.25">
      <c r="A170" t="s">
        <v>2</v>
      </c>
      <c r="B170" t="s">
        <v>7</v>
      </c>
      <c r="C170" t="s">
        <v>5</v>
      </c>
      <c r="D170" t="s">
        <v>26</v>
      </c>
      <c r="E170" t="str">
        <f>VLOOKUP(Table1[[#This Row],[specimen]],reference!$G$2:$H$17,2,FALSE)</f>
        <v>conform</v>
      </c>
      <c r="F170" t="s">
        <v>100</v>
      </c>
      <c r="G170" t="s">
        <v>51</v>
      </c>
      <c r="H170" s="4">
        <v>1</v>
      </c>
      <c r="I170" s="4">
        <f>VLOOKUP(Table1[[#This Row],[block]], 'pivot1 test order'!$R$5:$V$14, 5, FALSE)</f>
        <v>4</v>
      </c>
      <c r="J170" s="4" t="s">
        <v>92</v>
      </c>
      <c r="K170" t="s">
        <v>17</v>
      </c>
    </row>
    <row r="171" spans="1:11" x14ac:dyDescent="0.25">
      <c r="A171" t="s">
        <v>2</v>
      </c>
      <c r="B171" t="s">
        <v>7</v>
      </c>
      <c r="C171" t="s">
        <v>5</v>
      </c>
      <c r="D171" t="s">
        <v>27</v>
      </c>
      <c r="E171" t="str">
        <f>VLOOKUP(Table1[[#This Row],[specimen]],reference!$G$2:$H$17,2,FALSE)</f>
        <v>nonconform</v>
      </c>
      <c r="F171" t="s">
        <v>101</v>
      </c>
      <c r="G171" t="s">
        <v>51</v>
      </c>
      <c r="H171" s="4">
        <v>1</v>
      </c>
      <c r="I171" s="4">
        <f>VLOOKUP(Table1[[#This Row],[block]], 'pivot1 test order'!$R$5:$V$14, 5, FALSE)</f>
        <v>1</v>
      </c>
      <c r="J171" s="4" t="s">
        <v>93</v>
      </c>
      <c r="K171" t="s">
        <v>16</v>
      </c>
    </row>
    <row r="172" spans="1:11" x14ac:dyDescent="0.25">
      <c r="A172" t="s">
        <v>2</v>
      </c>
      <c r="B172" t="s">
        <v>7</v>
      </c>
      <c r="C172" t="s">
        <v>5</v>
      </c>
      <c r="D172" t="s">
        <v>28</v>
      </c>
      <c r="E172" t="str">
        <f>VLOOKUP(Table1[[#This Row],[specimen]],reference!$G$2:$H$17,2,FALSE)</f>
        <v>nonconform</v>
      </c>
      <c r="F172" t="s">
        <v>101</v>
      </c>
      <c r="G172" t="s">
        <v>51</v>
      </c>
      <c r="H172" s="4">
        <v>1</v>
      </c>
      <c r="I172" s="4">
        <f>VLOOKUP(Table1[[#This Row],[block]], 'pivot1 test order'!$R$5:$V$14, 5, FALSE)</f>
        <v>1</v>
      </c>
      <c r="J172" s="4" t="s">
        <v>94</v>
      </c>
      <c r="K172" t="s">
        <v>16</v>
      </c>
    </row>
    <row r="173" spans="1:11" x14ac:dyDescent="0.25">
      <c r="A173" t="s">
        <v>2</v>
      </c>
      <c r="B173" t="s">
        <v>7</v>
      </c>
      <c r="C173" t="s">
        <v>5</v>
      </c>
      <c r="D173" t="s">
        <v>29</v>
      </c>
      <c r="E173" t="str">
        <f>VLOOKUP(Table1[[#This Row],[specimen]],reference!$G$2:$H$17,2,FALSE)</f>
        <v>conform</v>
      </c>
      <c r="F173" t="s">
        <v>101</v>
      </c>
      <c r="G173" t="s">
        <v>51</v>
      </c>
      <c r="H173" s="4">
        <v>1</v>
      </c>
      <c r="I173" s="4">
        <f>VLOOKUP(Table1[[#This Row],[block]], 'pivot1 test order'!$R$5:$V$14, 5, FALSE)</f>
        <v>1</v>
      </c>
      <c r="J173" s="4" t="s">
        <v>95</v>
      </c>
      <c r="K173" t="s">
        <v>17</v>
      </c>
    </row>
    <row r="174" spans="1:11" x14ac:dyDescent="0.25">
      <c r="A174" t="s">
        <v>2</v>
      </c>
      <c r="B174" t="s">
        <v>7</v>
      </c>
      <c r="C174" t="s">
        <v>5</v>
      </c>
      <c r="D174" t="s">
        <v>30</v>
      </c>
      <c r="E174" t="str">
        <f>VLOOKUP(Table1[[#This Row],[specimen]],reference!$G$2:$H$17,2,FALSE)</f>
        <v>nonconform</v>
      </c>
      <c r="F174" t="s">
        <v>101</v>
      </c>
      <c r="G174" t="s">
        <v>51</v>
      </c>
      <c r="H174" s="4">
        <v>1</v>
      </c>
      <c r="I174" s="4">
        <f>VLOOKUP(Table1[[#This Row],[block]], 'pivot1 test order'!$R$5:$V$14, 5, FALSE)</f>
        <v>1</v>
      </c>
      <c r="J174" s="4" t="s">
        <v>96</v>
      </c>
      <c r="K174" t="s">
        <v>16</v>
      </c>
    </row>
    <row r="175" spans="1:11" x14ac:dyDescent="0.25">
      <c r="A175" t="s">
        <v>2</v>
      </c>
      <c r="B175" t="s">
        <v>7</v>
      </c>
      <c r="C175" t="s">
        <v>5</v>
      </c>
      <c r="D175" t="s">
        <v>31</v>
      </c>
      <c r="E175" t="str">
        <f>VLOOKUP(Table1[[#This Row],[specimen]],reference!$G$2:$H$17,2,FALSE)</f>
        <v>conform</v>
      </c>
      <c r="F175" t="s">
        <v>101</v>
      </c>
      <c r="G175" t="s">
        <v>51</v>
      </c>
      <c r="H175" s="4">
        <v>1</v>
      </c>
      <c r="I175" s="4">
        <f>VLOOKUP(Table1[[#This Row],[block]], 'pivot1 test order'!$R$5:$V$14, 5, FALSE)</f>
        <v>1</v>
      </c>
      <c r="J175" s="4" t="s">
        <v>97</v>
      </c>
      <c r="K175" t="s">
        <v>17</v>
      </c>
    </row>
    <row r="176" spans="1:11" x14ac:dyDescent="0.25">
      <c r="A176" t="s">
        <v>2</v>
      </c>
      <c r="B176" t="s">
        <v>7</v>
      </c>
      <c r="C176" t="s">
        <v>5</v>
      </c>
      <c r="D176" t="s">
        <v>32</v>
      </c>
      <c r="E176" t="str">
        <f>VLOOKUP(Table1[[#This Row],[specimen]],reference!$G$2:$H$17,2,FALSE)</f>
        <v>nonconform</v>
      </c>
      <c r="F176" t="s">
        <v>101</v>
      </c>
      <c r="G176" t="s">
        <v>51</v>
      </c>
      <c r="H176" s="4">
        <v>1</v>
      </c>
      <c r="I176" s="4">
        <f>VLOOKUP(Table1[[#This Row],[block]], 'pivot1 test order'!$R$5:$V$14, 5, FALSE)</f>
        <v>1</v>
      </c>
      <c r="J176" s="4" t="s">
        <v>98</v>
      </c>
      <c r="K176" t="s">
        <v>16</v>
      </c>
    </row>
    <row r="177" spans="1:11" x14ac:dyDescent="0.25">
      <c r="A177" t="s">
        <v>2</v>
      </c>
      <c r="B177" t="s">
        <v>7</v>
      </c>
      <c r="C177" t="s">
        <v>5</v>
      </c>
      <c r="D177" t="s">
        <v>33</v>
      </c>
      <c r="E177" t="str">
        <f>VLOOKUP(Table1[[#This Row],[specimen]],reference!$G$2:$H$17,2,FALSE)</f>
        <v>conform</v>
      </c>
      <c r="F177" t="s">
        <v>101</v>
      </c>
      <c r="G177" t="s">
        <v>51</v>
      </c>
      <c r="H177" s="4">
        <v>1</v>
      </c>
      <c r="I177" s="4">
        <f>VLOOKUP(Table1[[#This Row],[block]], 'pivot1 test order'!$R$5:$V$14, 5, FALSE)</f>
        <v>1</v>
      </c>
      <c r="J177" s="4" t="s">
        <v>99</v>
      </c>
      <c r="K177" t="s">
        <v>17</v>
      </c>
    </row>
    <row r="178" spans="1:11" x14ac:dyDescent="0.25">
      <c r="A178" t="s">
        <v>3</v>
      </c>
      <c r="B178" t="s">
        <v>7</v>
      </c>
      <c r="C178" t="s">
        <v>6</v>
      </c>
      <c r="D178" t="s">
        <v>18</v>
      </c>
      <c r="E178" t="str">
        <f>VLOOKUP(Table1[[#This Row],[specimen]],reference!$G$2:$H$17,2,FALSE)</f>
        <v>conform</v>
      </c>
      <c r="F178" t="s">
        <v>102</v>
      </c>
      <c r="G178" t="s">
        <v>51</v>
      </c>
      <c r="H178" s="4">
        <v>1</v>
      </c>
      <c r="I178" s="4">
        <f>VLOOKUP(Table1[[#This Row],[block]], 'pivot1 test order'!$R$5:$V$14, 5, FALSE)</f>
        <v>3</v>
      </c>
      <c r="J178" s="4" t="s">
        <v>84</v>
      </c>
      <c r="K178" t="s">
        <v>17</v>
      </c>
    </row>
    <row r="179" spans="1:11" x14ac:dyDescent="0.25">
      <c r="A179" t="s">
        <v>3</v>
      </c>
      <c r="B179" t="s">
        <v>7</v>
      </c>
      <c r="C179" t="s">
        <v>6</v>
      </c>
      <c r="D179" t="s">
        <v>19</v>
      </c>
      <c r="E179" t="str">
        <f>VLOOKUP(Table1[[#This Row],[specimen]],reference!$G$2:$H$17,2,FALSE)</f>
        <v>nonconform</v>
      </c>
      <c r="F179" t="s">
        <v>102</v>
      </c>
      <c r="G179" t="s">
        <v>51</v>
      </c>
      <c r="H179" s="4">
        <v>1</v>
      </c>
      <c r="I179" s="4">
        <f>VLOOKUP(Table1[[#This Row],[block]], 'pivot1 test order'!$R$5:$V$14, 5, FALSE)</f>
        <v>3</v>
      </c>
      <c r="J179" s="4" t="s">
        <v>85</v>
      </c>
      <c r="K179" t="s">
        <v>16</v>
      </c>
    </row>
    <row r="180" spans="1:11" x14ac:dyDescent="0.25">
      <c r="A180" t="s">
        <v>3</v>
      </c>
      <c r="B180" t="s">
        <v>7</v>
      </c>
      <c r="C180" t="s">
        <v>6</v>
      </c>
      <c r="D180" t="s">
        <v>20</v>
      </c>
      <c r="E180" t="str">
        <f>VLOOKUP(Table1[[#This Row],[specimen]],reference!$G$2:$H$17,2,FALSE)</f>
        <v>conform</v>
      </c>
      <c r="F180" t="s">
        <v>102</v>
      </c>
      <c r="G180" t="s">
        <v>51</v>
      </c>
      <c r="H180" s="4">
        <v>1</v>
      </c>
      <c r="I180" s="4">
        <f>VLOOKUP(Table1[[#This Row],[block]], 'pivot1 test order'!$R$5:$V$14, 5, FALSE)</f>
        <v>3</v>
      </c>
      <c r="J180" s="4" t="s">
        <v>86</v>
      </c>
      <c r="K180" t="s">
        <v>17</v>
      </c>
    </row>
    <row r="181" spans="1:11" x14ac:dyDescent="0.25">
      <c r="A181" t="s">
        <v>3</v>
      </c>
      <c r="B181" t="s">
        <v>7</v>
      </c>
      <c r="C181" t="s">
        <v>6</v>
      </c>
      <c r="D181" t="s">
        <v>21</v>
      </c>
      <c r="E181" t="str">
        <f>VLOOKUP(Table1[[#This Row],[specimen]],reference!$G$2:$H$17,2,FALSE)</f>
        <v>nonconform</v>
      </c>
      <c r="F181" t="s">
        <v>102</v>
      </c>
      <c r="G181" t="s">
        <v>51</v>
      </c>
      <c r="H181" s="4">
        <v>1</v>
      </c>
      <c r="I181" s="4">
        <f>VLOOKUP(Table1[[#This Row],[block]], 'pivot1 test order'!$R$5:$V$14, 5, FALSE)</f>
        <v>3</v>
      </c>
      <c r="J181" s="4" t="s">
        <v>87</v>
      </c>
      <c r="K181" t="s">
        <v>16</v>
      </c>
    </row>
    <row r="182" spans="1:11" x14ac:dyDescent="0.25">
      <c r="A182" t="s">
        <v>3</v>
      </c>
      <c r="B182" t="s">
        <v>7</v>
      </c>
      <c r="C182" t="s">
        <v>6</v>
      </c>
      <c r="D182" t="s">
        <v>22</v>
      </c>
      <c r="E182" t="str">
        <f>VLOOKUP(Table1[[#This Row],[specimen]],reference!$G$2:$H$17,2,FALSE)</f>
        <v>conform</v>
      </c>
      <c r="F182" t="s">
        <v>102</v>
      </c>
      <c r="G182" t="s">
        <v>51</v>
      </c>
      <c r="H182" s="4">
        <v>1</v>
      </c>
      <c r="I182" s="4">
        <f>VLOOKUP(Table1[[#This Row],[block]], 'pivot1 test order'!$R$5:$V$14, 5, FALSE)</f>
        <v>3</v>
      </c>
      <c r="J182" s="4" t="s">
        <v>88</v>
      </c>
      <c r="K182" t="s">
        <v>17</v>
      </c>
    </row>
    <row r="183" spans="1:11" x14ac:dyDescent="0.25">
      <c r="A183" t="s">
        <v>3</v>
      </c>
      <c r="B183" t="s">
        <v>7</v>
      </c>
      <c r="C183" t="s">
        <v>6</v>
      </c>
      <c r="D183" t="s">
        <v>23</v>
      </c>
      <c r="E183" t="str">
        <f>VLOOKUP(Table1[[#This Row],[specimen]],reference!$G$2:$H$17,2,FALSE)</f>
        <v>nonconform</v>
      </c>
      <c r="F183" t="s">
        <v>102</v>
      </c>
      <c r="G183" t="s">
        <v>51</v>
      </c>
      <c r="H183" s="4">
        <v>1</v>
      </c>
      <c r="I183" s="4">
        <f>VLOOKUP(Table1[[#This Row],[block]], 'pivot1 test order'!$R$5:$V$14, 5, FALSE)</f>
        <v>3</v>
      </c>
      <c r="J183" s="4" t="s">
        <v>89</v>
      </c>
      <c r="K183" t="s">
        <v>16</v>
      </c>
    </row>
    <row r="184" spans="1:11" x14ac:dyDescent="0.25">
      <c r="A184" t="s">
        <v>3</v>
      </c>
      <c r="B184" t="s">
        <v>7</v>
      </c>
      <c r="C184" t="s">
        <v>6</v>
      </c>
      <c r="D184" t="s">
        <v>24</v>
      </c>
      <c r="E184" t="str">
        <f>VLOOKUP(Table1[[#This Row],[specimen]],reference!$G$2:$H$17,2,FALSE)</f>
        <v>nonconform</v>
      </c>
      <c r="F184" t="s">
        <v>102</v>
      </c>
      <c r="G184" t="s">
        <v>51</v>
      </c>
      <c r="H184" s="4">
        <v>1</v>
      </c>
      <c r="I184" s="4">
        <f>VLOOKUP(Table1[[#This Row],[block]], 'pivot1 test order'!$R$5:$V$14, 5, FALSE)</f>
        <v>3</v>
      </c>
      <c r="J184" s="4" t="s">
        <v>90</v>
      </c>
      <c r="K184" t="s">
        <v>16</v>
      </c>
    </row>
    <row r="185" spans="1:11" x14ac:dyDescent="0.25">
      <c r="A185" t="s">
        <v>3</v>
      </c>
      <c r="B185" t="s">
        <v>7</v>
      </c>
      <c r="C185" t="s">
        <v>6</v>
      </c>
      <c r="D185" t="s">
        <v>25</v>
      </c>
      <c r="E185" t="str">
        <f>VLOOKUP(Table1[[#This Row],[specimen]],reference!$G$2:$H$17,2,FALSE)</f>
        <v>nonconform</v>
      </c>
      <c r="F185" t="s">
        <v>102</v>
      </c>
      <c r="G185" t="s">
        <v>51</v>
      </c>
      <c r="H185" s="4">
        <v>1</v>
      </c>
      <c r="I185" s="4">
        <f>VLOOKUP(Table1[[#This Row],[block]], 'pivot1 test order'!$R$5:$V$14, 5, FALSE)</f>
        <v>3</v>
      </c>
      <c r="J185" s="4" t="s">
        <v>91</v>
      </c>
      <c r="K185" t="s">
        <v>16</v>
      </c>
    </row>
    <row r="186" spans="1:11" x14ac:dyDescent="0.25">
      <c r="A186" t="s">
        <v>3</v>
      </c>
      <c r="B186" t="s">
        <v>7</v>
      </c>
      <c r="C186" t="s">
        <v>6</v>
      </c>
      <c r="D186" t="s">
        <v>26</v>
      </c>
      <c r="E186" t="str">
        <f>VLOOKUP(Table1[[#This Row],[specimen]],reference!$G$2:$H$17,2,FALSE)</f>
        <v>conform</v>
      </c>
      <c r="F186" t="s">
        <v>103</v>
      </c>
      <c r="G186" t="s">
        <v>51</v>
      </c>
      <c r="H186" s="4">
        <v>1</v>
      </c>
      <c r="I186" s="4">
        <f>VLOOKUP(Table1[[#This Row],[block]], 'pivot1 test order'!$R$5:$V$14, 5, FALSE)</f>
        <v>2</v>
      </c>
      <c r="J186" s="4" t="s">
        <v>92</v>
      </c>
      <c r="K186" t="s">
        <v>17</v>
      </c>
    </row>
    <row r="187" spans="1:11" x14ac:dyDescent="0.25">
      <c r="A187" t="s">
        <v>3</v>
      </c>
      <c r="B187" t="s">
        <v>7</v>
      </c>
      <c r="C187" t="s">
        <v>6</v>
      </c>
      <c r="D187" t="s">
        <v>27</v>
      </c>
      <c r="E187" t="str">
        <f>VLOOKUP(Table1[[#This Row],[specimen]],reference!$G$2:$H$17,2,FALSE)</f>
        <v>nonconform</v>
      </c>
      <c r="F187" t="s">
        <v>103</v>
      </c>
      <c r="G187" t="s">
        <v>51</v>
      </c>
      <c r="H187" s="4">
        <v>1</v>
      </c>
      <c r="I187" s="4">
        <f>VLOOKUP(Table1[[#This Row],[block]], 'pivot1 test order'!$R$5:$V$14, 5, FALSE)</f>
        <v>2</v>
      </c>
      <c r="J187" s="4" t="s">
        <v>93</v>
      </c>
      <c r="K187" t="s">
        <v>16</v>
      </c>
    </row>
    <row r="188" spans="1:11" x14ac:dyDescent="0.25">
      <c r="A188" t="s">
        <v>3</v>
      </c>
      <c r="B188" t="s">
        <v>7</v>
      </c>
      <c r="C188" t="s">
        <v>6</v>
      </c>
      <c r="D188" t="s">
        <v>28</v>
      </c>
      <c r="E188" t="str">
        <f>VLOOKUP(Table1[[#This Row],[specimen]],reference!$G$2:$H$17,2,FALSE)</f>
        <v>nonconform</v>
      </c>
      <c r="F188" t="s">
        <v>103</v>
      </c>
      <c r="G188" t="s">
        <v>51</v>
      </c>
      <c r="H188" s="4">
        <v>1</v>
      </c>
      <c r="I188" s="4">
        <f>VLOOKUP(Table1[[#This Row],[block]], 'pivot1 test order'!$R$5:$V$14, 5, FALSE)</f>
        <v>2</v>
      </c>
      <c r="J188" s="4" t="s">
        <v>94</v>
      </c>
      <c r="K188" t="s">
        <v>16</v>
      </c>
    </row>
    <row r="189" spans="1:11" x14ac:dyDescent="0.25">
      <c r="A189" t="s">
        <v>3</v>
      </c>
      <c r="B189" t="s">
        <v>7</v>
      </c>
      <c r="C189" t="s">
        <v>6</v>
      </c>
      <c r="D189" t="s">
        <v>29</v>
      </c>
      <c r="E189" t="str">
        <f>VLOOKUP(Table1[[#This Row],[specimen]],reference!$G$2:$H$17,2,FALSE)</f>
        <v>conform</v>
      </c>
      <c r="F189" t="s">
        <v>103</v>
      </c>
      <c r="G189" t="s">
        <v>51</v>
      </c>
      <c r="H189" s="4">
        <v>1</v>
      </c>
      <c r="I189" s="4">
        <f>VLOOKUP(Table1[[#This Row],[block]], 'pivot1 test order'!$R$5:$V$14, 5, FALSE)</f>
        <v>2</v>
      </c>
      <c r="J189" s="4" t="s">
        <v>95</v>
      </c>
      <c r="K189" t="s">
        <v>17</v>
      </c>
    </row>
    <row r="190" spans="1:11" x14ac:dyDescent="0.25">
      <c r="A190" t="s">
        <v>3</v>
      </c>
      <c r="B190" t="s">
        <v>7</v>
      </c>
      <c r="C190" t="s">
        <v>6</v>
      </c>
      <c r="D190" t="s">
        <v>30</v>
      </c>
      <c r="E190" t="str">
        <f>VLOOKUP(Table1[[#This Row],[specimen]],reference!$G$2:$H$17,2,FALSE)</f>
        <v>nonconform</v>
      </c>
      <c r="F190" t="s">
        <v>103</v>
      </c>
      <c r="G190" t="s">
        <v>51</v>
      </c>
      <c r="H190" s="4">
        <v>1</v>
      </c>
      <c r="I190" s="4">
        <f>VLOOKUP(Table1[[#This Row],[block]], 'pivot1 test order'!$R$5:$V$14, 5, FALSE)</f>
        <v>2</v>
      </c>
      <c r="J190" s="4" t="s">
        <v>96</v>
      </c>
      <c r="K190" t="s">
        <v>17</v>
      </c>
    </row>
    <row r="191" spans="1:11" x14ac:dyDescent="0.25">
      <c r="A191" t="s">
        <v>3</v>
      </c>
      <c r="B191" t="s">
        <v>7</v>
      </c>
      <c r="C191" t="s">
        <v>6</v>
      </c>
      <c r="D191" t="s">
        <v>31</v>
      </c>
      <c r="E191" t="str">
        <f>VLOOKUP(Table1[[#This Row],[specimen]],reference!$G$2:$H$17,2,FALSE)</f>
        <v>conform</v>
      </c>
      <c r="F191" t="s">
        <v>103</v>
      </c>
      <c r="G191" t="s">
        <v>51</v>
      </c>
      <c r="H191" s="4">
        <v>1</v>
      </c>
      <c r="I191" s="4">
        <f>VLOOKUP(Table1[[#This Row],[block]], 'pivot1 test order'!$R$5:$V$14, 5, FALSE)</f>
        <v>2</v>
      </c>
      <c r="J191" s="4" t="s">
        <v>97</v>
      </c>
      <c r="K191" t="s">
        <v>17</v>
      </c>
    </row>
    <row r="192" spans="1:11" x14ac:dyDescent="0.25">
      <c r="A192" t="s">
        <v>3</v>
      </c>
      <c r="B192" t="s">
        <v>7</v>
      </c>
      <c r="C192" t="s">
        <v>6</v>
      </c>
      <c r="D192" t="s">
        <v>32</v>
      </c>
      <c r="E192" t="str">
        <f>VLOOKUP(Table1[[#This Row],[specimen]],reference!$G$2:$H$17,2,FALSE)</f>
        <v>nonconform</v>
      </c>
      <c r="F192" t="s">
        <v>103</v>
      </c>
      <c r="G192" t="s">
        <v>51</v>
      </c>
      <c r="H192" s="4">
        <v>1</v>
      </c>
      <c r="I192" s="4">
        <f>VLOOKUP(Table1[[#This Row],[block]], 'pivot1 test order'!$R$5:$V$14, 5, FALSE)</f>
        <v>2</v>
      </c>
      <c r="J192" s="4" t="s">
        <v>98</v>
      </c>
      <c r="K192" t="s">
        <v>16</v>
      </c>
    </row>
    <row r="193" spans="1:11" x14ac:dyDescent="0.25">
      <c r="A193" t="s">
        <v>3</v>
      </c>
      <c r="B193" t="s">
        <v>7</v>
      </c>
      <c r="C193" t="s">
        <v>6</v>
      </c>
      <c r="D193" t="s">
        <v>33</v>
      </c>
      <c r="E193" t="str">
        <f>VLOOKUP(Table1[[#This Row],[specimen]],reference!$G$2:$H$17,2,FALSE)</f>
        <v>conform</v>
      </c>
      <c r="F193" t="s">
        <v>103</v>
      </c>
      <c r="G193" t="s">
        <v>51</v>
      </c>
      <c r="H193" s="4">
        <v>1</v>
      </c>
      <c r="I193" s="4">
        <f>VLOOKUP(Table1[[#This Row],[block]], 'pivot1 test order'!$R$5:$V$14, 5, FALSE)</f>
        <v>2</v>
      </c>
      <c r="J193" s="4" t="s">
        <v>99</v>
      </c>
      <c r="K193" t="s">
        <v>17</v>
      </c>
    </row>
    <row r="194" spans="1:11" x14ac:dyDescent="0.25">
      <c r="A194" t="s">
        <v>9</v>
      </c>
      <c r="B194" t="s">
        <v>8</v>
      </c>
      <c r="C194" t="s">
        <v>5</v>
      </c>
      <c r="D194" t="s">
        <v>18</v>
      </c>
      <c r="E194" t="str">
        <f>VLOOKUP(Table1[[#This Row],[specimen]],reference!$G$2:$H$17,2,FALSE)</f>
        <v>conform</v>
      </c>
      <c r="F194" t="s">
        <v>104</v>
      </c>
      <c r="G194" t="s">
        <v>51</v>
      </c>
      <c r="H194" s="4">
        <v>1</v>
      </c>
      <c r="I194" s="4">
        <f>VLOOKUP(Table1[[#This Row],[block]], 'pivot1 test order'!$R$5:$V$14, 5, FALSE)</f>
        <v>5</v>
      </c>
      <c r="J194" s="4" t="s">
        <v>84</v>
      </c>
      <c r="K194" t="s">
        <v>17</v>
      </c>
    </row>
    <row r="195" spans="1:11" x14ac:dyDescent="0.25">
      <c r="A195" t="s">
        <v>9</v>
      </c>
      <c r="B195" t="s">
        <v>8</v>
      </c>
      <c r="C195" t="s">
        <v>5</v>
      </c>
      <c r="D195" t="s">
        <v>19</v>
      </c>
      <c r="E195" t="str">
        <f>VLOOKUP(Table1[[#This Row],[specimen]],reference!$G$2:$H$17,2,FALSE)</f>
        <v>nonconform</v>
      </c>
      <c r="F195" t="s">
        <v>104</v>
      </c>
      <c r="G195" t="s">
        <v>51</v>
      </c>
      <c r="H195" s="4">
        <v>1</v>
      </c>
      <c r="I195" s="4">
        <f>VLOOKUP(Table1[[#This Row],[block]], 'pivot1 test order'!$R$5:$V$14, 5, FALSE)</f>
        <v>5</v>
      </c>
      <c r="J195" s="4" t="s">
        <v>85</v>
      </c>
      <c r="K195" t="s">
        <v>16</v>
      </c>
    </row>
    <row r="196" spans="1:11" x14ac:dyDescent="0.25">
      <c r="A196" t="s">
        <v>9</v>
      </c>
      <c r="B196" t="s">
        <v>8</v>
      </c>
      <c r="C196" t="s">
        <v>5</v>
      </c>
      <c r="D196" t="s">
        <v>20</v>
      </c>
      <c r="E196" t="str">
        <f>VLOOKUP(Table1[[#This Row],[specimen]],reference!$G$2:$H$17,2,FALSE)</f>
        <v>conform</v>
      </c>
      <c r="F196" t="s">
        <v>104</v>
      </c>
      <c r="G196" t="s">
        <v>51</v>
      </c>
      <c r="H196" s="4">
        <v>1</v>
      </c>
      <c r="I196" s="4">
        <f>VLOOKUP(Table1[[#This Row],[block]], 'pivot1 test order'!$R$5:$V$14, 5, FALSE)</f>
        <v>5</v>
      </c>
      <c r="J196" s="4" t="s">
        <v>86</v>
      </c>
      <c r="K196" t="s">
        <v>17</v>
      </c>
    </row>
    <row r="197" spans="1:11" x14ac:dyDescent="0.25">
      <c r="A197" t="s">
        <v>9</v>
      </c>
      <c r="B197" t="s">
        <v>8</v>
      </c>
      <c r="C197" t="s">
        <v>5</v>
      </c>
      <c r="D197" t="s">
        <v>21</v>
      </c>
      <c r="E197" t="str">
        <f>VLOOKUP(Table1[[#This Row],[specimen]],reference!$G$2:$H$17,2,FALSE)</f>
        <v>nonconform</v>
      </c>
      <c r="F197" t="s">
        <v>104</v>
      </c>
      <c r="G197" t="s">
        <v>51</v>
      </c>
      <c r="H197" s="4">
        <v>1</v>
      </c>
      <c r="I197" s="4">
        <f>VLOOKUP(Table1[[#This Row],[block]], 'pivot1 test order'!$R$5:$V$14, 5, FALSE)</f>
        <v>5</v>
      </c>
      <c r="J197" s="4" t="s">
        <v>87</v>
      </c>
      <c r="K197" t="s">
        <v>16</v>
      </c>
    </row>
    <row r="198" spans="1:11" x14ac:dyDescent="0.25">
      <c r="A198" t="s">
        <v>9</v>
      </c>
      <c r="B198" t="s">
        <v>8</v>
      </c>
      <c r="C198" t="s">
        <v>5</v>
      </c>
      <c r="D198" t="s">
        <v>22</v>
      </c>
      <c r="E198" t="str">
        <f>VLOOKUP(Table1[[#This Row],[specimen]],reference!$G$2:$H$17,2,FALSE)</f>
        <v>conform</v>
      </c>
      <c r="F198" t="s">
        <v>104</v>
      </c>
      <c r="G198" t="s">
        <v>51</v>
      </c>
      <c r="H198" s="4">
        <v>1</v>
      </c>
      <c r="I198" s="4">
        <f>VLOOKUP(Table1[[#This Row],[block]], 'pivot1 test order'!$R$5:$V$14, 5, FALSE)</f>
        <v>5</v>
      </c>
      <c r="J198" s="4" t="s">
        <v>88</v>
      </c>
      <c r="K198" t="s">
        <v>17</v>
      </c>
    </row>
    <row r="199" spans="1:11" x14ac:dyDescent="0.25">
      <c r="A199" t="s">
        <v>9</v>
      </c>
      <c r="B199" t="s">
        <v>8</v>
      </c>
      <c r="C199" t="s">
        <v>5</v>
      </c>
      <c r="D199" t="s">
        <v>23</v>
      </c>
      <c r="E199" t="str">
        <f>VLOOKUP(Table1[[#This Row],[specimen]],reference!$G$2:$H$17,2,FALSE)</f>
        <v>nonconform</v>
      </c>
      <c r="F199" t="s">
        <v>104</v>
      </c>
      <c r="G199" t="s">
        <v>51</v>
      </c>
      <c r="H199" s="4">
        <v>1</v>
      </c>
      <c r="I199" s="4">
        <f>VLOOKUP(Table1[[#This Row],[block]], 'pivot1 test order'!$R$5:$V$14, 5, FALSE)</f>
        <v>5</v>
      </c>
      <c r="J199" s="4" t="s">
        <v>89</v>
      </c>
      <c r="K199" t="s">
        <v>16</v>
      </c>
    </row>
    <row r="200" spans="1:11" x14ac:dyDescent="0.25">
      <c r="A200" t="s">
        <v>9</v>
      </c>
      <c r="B200" t="s">
        <v>8</v>
      </c>
      <c r="C200" t="s">
        <v>5</v>
      </c>
      <c r="D200" t="s">
        <v>24</v>
      </c>
      <c r="E200" t="str">
        <f>VLOOKUP(Table1[[#This Row],[specimen]],reference!$G$2:$H$17,2,FALSE)</f>
        <v>nonconform</v>
      </c>
      <c r="F200" t="s">
        <v>104</v>
      </c>
      <c r="G200" t="s">
        <v>51</v>
      </c>
      <c r="H200" s="4">
        <v>1</v>
      </c>
      <c r="I200" s="4">
        <f>VLOOKUP(Table1[[#This Row],[block]], 'pivot1 test order'!$R$5:$V$14, 5, FALSE)</f>
        <v>5</v>
      </c>
      <c r="J200" s="4" t="s">
        <v>90</v>
      </c>
      <c r="K200" t="s">
        <v>16</v>
      </c>
    </row>
    <row r="201" spans="1:11" x14ac:dyDescent="0.25">
      <c r="A201" t="s">
        <v>9</v>
      </c>
      <c r="B201" t="s">
        <v>8</v>
      </c>
      <c r="C201" t="s">
        <v>5</v>
      </c>
      <c r="D201" t="s">
        <v>25</v>
      </c>
      <c r="E201" t="str">
        <f>VLOOKUP(Table1[[#This Row],[specimen]],reference!$G$2:$H$17,2,FALSE)</f>
        <v>nonconform</v>
      </c>
      <c r="F201" t="s">
        <v>104</v>
      </c>
      <c r="G201" t="s">
        <v>51</v>
      </c>
      <c r="H201" s="4">
        <v>1</v>
      </c>
      <c r="I201" s="4">
        <f>VLOOKUP(Table1[[#This Row],[block]], 'pivot1 test order'!$R$5:$V$14, 5, FALSE)</f>
        <v>5</v>
      </c>
      <c r="J201" s="4" t="s">
        <v>91</v>
      </c>
      <c r="K201" t="s">
        <v>16</v>
      </c>
    </row>
    <row r="202" spans="1:11" x14ac:dyDescent="0.25">
      <c r="A202" t="s">
        <v>9</v>
      </c>
      <c r="B202" t="s">
        <v>8</v>
      </c>
      <c r="C202" t="s">
        <v>5</v>
      </c>
      <c r="D202" t="s">
        <v>26</v>
      </c>
      <c r="E202" t="str">
        <f>VLOOKUP(Table1[[#This Row],[specimen]],reference!$G$2:$H$17,2,FALSE)</f>
        <v>conform</v>
      </c>
      <c r="F202" t="s">
        <v>105</v>
      </c>
      <c r="G202" t="s">
        <v>51</v>
      </c>
      <c r="H202" s="4">
        <v>1</v>
      </c>
      <c r="I202" s="4">
        <f>VLOOKUP(Table1[[#This Row],[block]], 'pivot1 test order'!$R$5:$V$14, 5, FALSE)</f>
        <v>2</v>
      </c>
      <c r="J202" s="4" t="s">
        <v>92</v>
      </c>
      <c r="K202" t="s">
        <v>17</v>
      </c>
    </row>
    <row r="203" spans="1:11" x14ac:dyDescent="0.25">
      <c r="A203" t="s">
        <v>9</v>
      </c>
      <c r="B203" t="s">
        <v>8</v>
      </c>
      <c r="C203" t="s">
        <v>5</v>
      </c>
      <c r="D203" t="s">
        <v>27</v>
      </c>
      <c r="E203" t="str">
        <f>VLOOKUP(Table1[[#This Row],[specimen]],reference!$G$2:$H$17,2,FALSE)</f>
        <v>nonconform</v>
      </c>
      <c r="F203" t="s">
        <v>105</v>
      </c>
      <c r="G203" t="s">
        <v>51</v>
      </c>
      <c r="H203" s="4">
        <v>1</v>
      </c>
      <c r="I203" s="4">
        <f>VLOOKUP(Table1[[#This Row],[block]], 'pivot1 test order'!$R$5:$V$14, 5, FALSE)</f>
        <v>2</v>
      </c>
      <c r="J203" s="4" t="s">
        <v>93</v>
      </c>
      <c r="K203" t="s">
        <v>16</v>
      </c>
    </row>
    <row r="204" spans="1:11" x14ac:dyDescent="0.25">
      <c r="A204" t="s">
        <v>9</v>
      </c>
      <c r="B204" t="s">
        <v>8</v>
      </c>
      <c r="C204" t="s">
        <v>5</v>
      </c>
      <c r="D204" t="s">
        <v>28</v>
      </c>
      <c r="E204" t="str">
        <f>VLOOKUP(Table1[[#This Row],[specimen]],reference!$G$2:$H$17,2,FALSE)</f>
        <v>nonconform</v>
      </c>
      <c r="F204" t="s">
        <v>105</v>
      </c>
      <c r="G204" t="s">
        <v>51</v>
      </c>
      <c r="H204" s="4">
        <v>1</v>
      </c>
      <c r="I204" s="4">
        <f>VLOOKUP(Table1[[#This Row],[block]], 'pivot1 test order'!$R$5:$V$14, 5, FALSE)</f>
        <v>2</v>
      </c>
      <c r="J204" s="4" t="s">
        <v>94</v>
      </c>
      <c r="K204" t="s">
        <v>16</v>
      </c>
    </row>
    <row r="205" spans="1:11" x14ac:dyDescent="0.25">
      <c r="A205" t="s">
        <v>9</v>
      </c>
      <c r="B205" t="s">
        <v>8</v>
      </c>
      <c r="C205" t="s">
        <v>5</v>
      </c>
      <c r="D205" t="s">
        <v>29</v>
      </c>
      <c r="E205" t="str">
        <f>VLOOKUP(Table1[[#This Row],[specimen]],reference!$G$2:$H$17,2,FALSE)</f>
        <v>conform</v>
      </c>
      <c r="F205" t="s">
        <v>105</v>
      </c>
      <c r="G205" t="s">
        <v>51</v>
      </c>
      <c r="H205" s="4">
        <v>1</v>
      </c>
      <c r="I205" s="4">
        <f>VLOOKUP(Table1[[#This Row],[block]], 'pivot1 test order'!$R$5:$V$14, 5, FALSE)</f>
        <v>2</v>
      </c>
      <c r="J205" s="4" t="s">
        <v>95</v>
      </c>
      <c r="K205" t="s">
        <v>17</v>
      </c>
    </row>
    <row r="206" spans="1:11" x14ac:dyDescent="0.25">
      <c r="A206" t="s">
        <v>9</v>
      </c>
      <c r="B206" t="s">
        <v>8</v>
      </c>
      <c r="C206" t="s">
        <v>5</v>
      </c>
      <c r="D206" t="s">
        <v>30</v>
      </c>
      <c r="E206" t="str">
        <f>VLOOKUP(Table1[[#This Row],[specimen]],reference!$G$2:$H$17,2,FALSE)</f>
        <v>nonconform</v>
      </c>
      <c r="F206" t="s">
        <v>105</v>
      </c>
      <c r="G206" t="s">
        <v>51</v>
      </c>
      <c r="H206" s="4">
        <v>1</v>
      </c>
      <c r="I206" s="4">
        <f>VLOOKUP(Table1[[#This Row],[block]], 'pivot1 test order'!$R$5:$V$14, 5, FALSE)</f>
        <v>2</v>
      </c>
      <c r="J206" s="4" t="s">
        <v>96</v>
      </c>
      <c r="K206" t="s">
        <v>16</v>
      </c>
    </row>
    <row r="207" spans="1:11" x14ac:dyDescent="0.25">
      <c r="A207" t="s">
        <v>9</v>
      </c>
      <c r="B207" t="s">
        <v>8</v>
      </c>
      <c r="C207" t="s">
        <v>5</v>
      </c>
      <c r="D207" t="s">
        <v>31</v>
      </c>
      <c r="E207" t="str">
        <f>VLOOKUP(Table1[[#This Row],[specimen]],reference!$G$2:$H$17,2,FALSE)</f>
        <v>conform</v>
      </c>
      <c r="F207" t="s">
        <v>105</v>
      </c>
      <c r="G207" t="s">
        <v>51</v>
      </c>
      <c r="H207" s="4">
        <v>1</v>
      </c>
      <c r="I207" s="4">
        <f>VLOOKUP(Table1[[#This Row],[block]], 'pivot1 test order'!$R$5:$V$14, 5, FALSE)</f>
        <v>2</v>
      </c>
      <c r="J207" s="4" t="s">
        <v>97</v>
      </c>
      <c r="K207" t="s">
        <v>17</v>
      </c>
    </row>
    <row r="208" spans="1:11" x14ac:dyDescent="0.25">
      <c r="A208" t="s">
        <v>9</v>
      </c>
      <c r="B208" t="s">
        <v>8</v>
      </c>
      <c r="C208" t="s">
        <v>5</v>
      </c>
      <c r="D208" t="s">
        <v>32</v>
      </c>
      <c r="E208" t="str">
        <f>VLOOKUP(Table1[[#This Row],[specimen]],reference!$G$2:$H$17,2,FALSE)</f>
        <v>nonconform</v>
      </c>
      <c r="F208" t="s">
        <v>105</v>
      </c>
      <c r="G208" t="s">
        <v>51</v>
      </c>
      <c r="H208" s="4">
        <v>1</v>
      </c>
      <c r="I208" s="4">
        <f>VLOOKUP(Table1[[#This Row],[block]], 'pivot1 test order'!$R$5:$V$14, 5, FALSE)</f>
        <v>2</v>
      </c>
      <c r="J208" s="4" t="s">
        <v>98</v>
      </c>
      <c r="K208" t="s">
        <v>16</v>
      </c>
    </row>
    <row r="209" spans="1:11" x14ac:dyDescent="0.25">
      <c r="A209" t="s">
        <v>9</v>
      </c>
      <c r="B209" t="s">
        <v>8</v>
      </c>
      <c r="C209" t="s">
        <v>5</v>
      </c>
      <c r="D209" t="s">
        <v>33</v>
      </c>
      <c r="E209" t="str">
        <f>VLOOKUP(Table1[[#This Row],[specimen]],reference!$G$2:$H$17,2,FALSE)</f>
        <v>conform</v>
      </c>
      <c r="F209" t="s">
        <v>105</v>
      </c>
      <c r="G209" t="s">
        <v>51</v>
      </c>
      <c r="H209" s="4">
        <v>1</v>
      </c>
      <c r="I209" s="4">
        <f>VLOOKUP(Table1[[#This Row],[block]], 'pivot1 test order'!$R$5:$V$14, 5, FALSE)</f>
        <v>2</v>
      </c>
      <c r="J209" s="4" t="s">
        <v>99</v>
      </c>
      <c r="K209" t="s">
        <v>17</v>
      </c>
    </row>
    <row r="210" spans="1:11" x14ac:dyDescent="0.25">
      <c r="A210" t="s">
        <v>10</v>
      </c>
      <c r="B210" t="s">
        <v>8</v>
      </c>
      <c r="C210" t="s">
        <v>5</v>
      </c>
      <c r="D210" t="s">
        <v>18</v>
      </c>
      <c r="E210" t="str">
        <f>VLOOKUP(Table1[[#This Row],[specimen]],reference!$G$2:$H$17,2,FALSE)</f>
        <v>conform</v>
      </c>
      <c r="F210" t="s">
        <v>106</v>
      </c>
      <c r="G210" t="s">
        <v>51</v>
      </c>
      <c r="H210" s="4">
        <v>1</v>
      </c>
      <c r="I210" s="4">
        <f>VLOOKUP(Table1[[#This Row],[block]], 'pivot1 test order'!$R$5:$V$14, 5, FALSE)</f>
        <v>6</v>
      </c>
      <c r="J210" s="4" t="s">
        <v>84</v>
      </c>
      <c r="K210" t="s">
        <v>17</v>
      </c>
    </row>
    <row r="211" spans="1:11" x14ac:dyDescent="0.25">
      <c r="A211" t="s">
        <v>10</v>
      </c>
      <c r="B211" t="s">
        <v>8</v>
      </c>
      <c r="C211" t="s">
        <v>5</v>
      </c>
      <c r="D211" t="s">
        <v>19</v>
      </c>
      <c r="E211" t="str">
        <f>VLOOKUP(Table1[[#This Row],[specimen]],reference!$G$2:$H$17,2,FALSE)</f>
        <v>nonconform</v>
      </c>
      <c r="F211" t="s">
        <v>106</v>
      </c>
      <c r="G211" t="s">
        <v>51</v>
      </c>
      <c r="H211" s="4">
        <v>1</v>
      </c>
      <c r="I211" s="4">
        <f>VLOOKUP(Table1[[#This Row],[block]], 'pivot1 test order'!$R$5:$V$14, 5, FALSE)</f>
        <v>6</v>
      </c>
      <c r="J211" s="4" t="s">
        <v>85</v>
      </c>
      <c r="K211" t="s">
        <v>16</v>
      </c>
    </row>
    <row r="212" spans="1:11" x14ac:dyDescent="0.25">
      <c r="A212" t="s">
        <v>10</v>
      </c>
      <c r="B212" t="s">
        <v>8</v>
      </c>
      <c r="C212" t="s">
        <v>5</v>
      </c>
      <c r="D212" t="s">
        <v>20</v>
      </c>
      <c r="E212" t="str">
        <f>VLOOKUP(Table1[[#This Row],[specimen]],reference!$G$2:$H$17,2,FALSE)</f>
        <v>conform</v>
      </c>
      <c r="F212" t="s">
        <v>106</v>
      </c>
      <c r="G212" t="s">
        <v>51</v>
      </c>
      <c r="H212" s="4">
        <v>1</v>
      </c>
      <c r="I212" s="4">
        <f>VLOOKUP(Table1[[#This Row],[block]], 'pivot1 test order'!$R$5:$V$14, 5, FALSE)</f>
        <v>6</v>
      </c>
      <c r="J212" s="4" t="s">
        <v>86</v>
      </c>
      <c r="K212" t="s">
        <v>17</v>
      </c>
    </row>
    <row r="213" spans="1:11" x14ac:dyDescent="0.25">
      <c r="A213" t="s">
        <v>10</v>
      </c>
      <c r="B213" t="s">
        <v>8</v>
      </c>
      <c r="C213" t="s">
        <v>5</v>
      </c>
      <c r="D213" t="s">
        <v>21</v>
      </c>
      <c r="E213" t="str">
        <f>VLOOKUP(Table1[[#This Row],[specimen]],reference!$G$2:$H$17,2,FALSE)</f>
        <v>nonconform</v>
      </c>
      <c r="F213" t="s">
        <v>106</v>
      </c>
      <c r="G213" t="s">
        <v>51</v>
      </c>
      <c r="H213" s="4">
        <v>1</v>
      </c>
      <c r="I213" s="4">
        <f>VLOOKUP(Table1[[#This Row],[block]], 'pivot1 test order'!$R$5:$V$14, 5, FALSE)</f>
        <v>6</v>
      </c>
      <c r="J213" s="4" t="s">
        <v>87</v>
      </c>
      <c r="K213" t="s">
        <v>16</v>
      </c>
    </row>
    <row r="214" spans="1:11" x14ac:dyDescent="0.25">
      <c r="A214" t="s">
        <v>10</v>
      </c>
      <c r="B214" t="s">
        <v>8</v>
      </c>
      <c r="C214" t="s">
        <v>5</v>
      </c>
      <c r="D214" t="s">
        <v>22</v>
      </c>
      <c r="E214" t="str">
        <f>VLOOKUP(Table1[[#This Row],[specimen]],reference!$G$2:$H$17,2,FALSE)</f>
        <v>conform</v>
      </c>
      <c r="F214" t="s">
        <v>106</v>
      </c>
      <c r="G214" t="s">
        <v>51</v>
      </c>
      <c r="H214" s="4">
        <v>1</v>
      </c>
      <c r="I214" s="4">
        <f>VLOOKUP(Table1[[#This Row],[block]], 'pivot1 test order'!$R$5:$V$14, 5, FALSE)</f>
        <v>6</v>
      </c>
      <c r="J214" s="4" t="s">
        <v>88</v>
      </c>
      <c r="K214" t="s">
        <v>17</v>
      </c>
    </row>
    <row r="215" spans="1:11" x14ac:dyDescent="0.25">
      <c r="A215" t="s">
        <v>10</v>
      </c>
      <c r="B215" t="s">
        <v>8</v>
      </c>
      <c r="C215" t="s">
        <v>5</v>
      </c>
      <c r="D215" t="s">
        <v>23</v>
      </c>
      <c r="E215" t="str">
        <f>VLOOKUP(Table1[[#This Row],[specimen]],reference!$G$2:$H$17,2,FALSE)</f>
        <v>nonconform</v>
      </c>
      <c r="F215" t="s">
        <v>106</v>
      </c>
      <c r="G215" t="s">
        <v>51</v>
      </c>
      <c r="H215" s="4">
        <v>1</v>
      </c>
      <c r="I215" s="4">
        <f>VLOOKUP(Table1[[#This Row],[block]], 'pivot1 test order'!$R$5:$V$14, 5, FALSE)</f>
        <v>6</v>
      </c>
      <c r="J215" s="4" t="s">
        <v>89</v>
      </c>
      <c r="K215" t="s">
        <v>16</v>
      </c>
    </row>
    <row r="216" spans="1:11" x14ac:dyDescent="0.25">
      <c r="A216" t="s">
        <v>10</v>
      </c>
      <c r="B216" t="s">
        <v>8</v>
      </c>
      <c r="C216" t="s">
        <v>5</v>
      </c>
      <c r="D216" t="s">
        <v>24</v>
      </c>
      <c r="E216" t="str">
        <f>VLOOKUP(Table1[[#This Row],[specimen]],reference!$G$2:$H$17,2,FALSE)</f>
        <v>nonconform</v>
      </c>
      <c r="F216" t="s">
        <v>106</v>
      </c>
      <c r="G216" t="s">
        <v>51</v>
      </c>
      <c r="H216" s="4">
        <v>1</v>
      </c>
      <c r="I216" s="4">
        <f>VLOOKUP(Table1[[#This Row],[block]], 'pivot1 test order'!$R$5:$V$14, 5, FALSE)</f>
        <v>6</v>
      </c>
      <c r="J216" s="4" t="s">
        <v>90</v>
      </c>
      <c r="K216" t="s">
        <v>16</v>
      </c>
    </row>
    <row r="217" spans="1:11" x14ac:dyDescent="0.25">
      <c r="A217" t="s">
        <v>10</v>
      </c>
      <c r="B217" t="s">
        <v>8</v>
      </c>
      <c r="C217" t="s">
        <v>5</v>
      </c>
      <c r="D217" t="s">
        <v>25</v>
      </c>
      <c r="E217" t="str">
        <f>VLOOKUP(Table1[[#This Row],[specimen]],reference!$G$2:$H$17,2,FALSE)</f>
        <v>nonconform</v>
      </c>
      <c r="F217" t="s">
        <v>106</v>
      </c>
      <c r="G217" t="s">
        <v>51</v>
      </c>
      <c r="H217" s="4">
        <v>1</v>
      </c>
      <c r="I217" s="4">
        <f>VLOOKUP(Table1[[#This Row],[block]], 'pivot1 test order'!$R$5:$V$14, 5, FALSE)</f>
        <v>6</v>
      </c>
      <c r="J217" s="4" t="s">
        <v>91</v>
      </c>
      <c r="K217" t="s">
        <v>16</v>
      </c>
    </row>
    <row r="218" spans="1:11" x14ac:dyDescent="0.25">
      <c r="A218" t="s">
        <v>10</v>
      </c>
      <c r="B218" t="s">
        <v>8</v>
      </c>
      <c r="C218" t="s">
        <v>5</v>
      </c>
      <c r="D218" t="s">
        <v>26</v>
      </c>
      <c r="E218" t="str">
        <f>VLOOKUP(Table1[[#This Row],[specimen]],reference!$G$2:$H$17,2,FALSE)</f>
        <v>conform</v>
      </c>
      <c r="F218" t="s">
        <v>107</v>
      </c>
      <c r="G218" t="s">
        <v>51</v>
      </c>
      <c r="H218" s="4">
        <v>1</v>
      </c>
      <c r="I218" s="4">
        <f>VLOOKUP(Table1[[#This Row],[block]], 'pivot1 test order'!$R$5:$V$14, 5, FALSE)</f>
        <v>3</v>
      </c>
      <c r="J218" s="4" t="s">
        <v>92</v>
      </c>
      <c r="K218" t="s">
        <v>17</v>
      </c>
    </row>
    <row r="219" spans="1:11" x14ac:dyDescent="0.25">
      <c r="A219" t="s">
        <v>10</v>
      </c>
      <c r="B219" t="s">
        <v>8</v>
      </c>
      <c r="C219" t="s">
        <v>5</v>
      </c>
      <c r="D219" t="s">
        <v>27</v>
      </c>
      <c r="E219" t="str">
        <f>VLOOKUP(Table1[[#This Row],[specimen]],reference!$G$2:$H$17,2,FALSE)</f>
        <v>nonconform</v>
      </c>
      <c r="F219" t="s">
        <v>107</v>
      </c>
      <c r="G219" t="s">
        <v>51</v>
      </c>
      <c r="H219" s="4">
        <v>1</v>
      </c>
      <c r="I219" s="4">
        <f>VLOOKUP(Table1[[#This Row],[block]], 'pivot1 test order'!$R$5:$V$14, 5, FALSE)</f>
        <v>3</v>
      </c>
      <c r="J219" s="4" t="s">
        <v>93</v>
      </c>
      <c r="K219" t="s">
        <v>16</v>
      </c>
    </row>
    <row r="220" spans="1:11" x14ac:dyDescent="0.25">
      <c r="A220" t="s">
        <v>10</v>
      </c>
      <c r="B220" t="s">
        <v>8</v>
      </c>
      <c r="C220" t="s">
        <v>5</v>
      </c>
      <c r="D220" t="s">
        <v>28</v>
      </c>
      <c r="E220" t="str">
        <f>VLOOKUP(Table1[[#This Row],[specimen]],reference!$G$2:$H$17,2,FALSE)</f>
        <v>nonconform</v>
      </c>
      <c r="F220" t="s">
        <v>107</v>
      </c>
      <c r="G220" t="s">
        <v>51</v>
      </c>
      <c r="H220" s="4">
        <v>1</v>
      </c>
      <c r="I220" s="4">
        <f>VLOOKUP(Table1[[#This Row],[block]], 'pivot1 test order'!$R$5:$V$14, 5, FALSE)</f>
        <v>3</v>
      </c>
      <c r="J220" s="4" t="s">
        <v>94</v>
      </c>
      <c r="K220" t="s">
        <v>16</v>
      </c>
    </row>
    <row r="221" spans="1:11" x14ac:dyDescent="0.25">
      <c r="A221" t="s">
        <v>10</v>
      </c>
      <c r="B221" t="s">
        <v>8</v>
      </c>
      <c r="C221" t="s">
        <v>5</v>
      </c>
      <c r="D221" t="s">
        <v>29</v>
      </c>
      <c r="E221" t="str">
        <f>VLOOKUP(Table1[[#This Row],[specimen]],reference!$G$2:$H$17,2,FALSE)</f>
        <v>conform</v>
      </c>
      <c r="F221" t="s">
        <v>107</v>
      </c>
      <c r="G221" t="s">
        <v>51</v>
      </c>
      <c r="H221" s="4">
        <v>1</v>
      </c>
      <c r="I221" s="4">
        <f>VLOOKUP(Table1[[#This Row],[block]], 'pivot1 test order'!$R$5:$V$14, 5, FALSE)</f>
        <v>3</v>
      </c>
      <c r="J221" s="4" t="s">
        <v>95</v>
      </c>
      <c r="K221" t="s">
        <v>17</v>
      </c>
    </row>
    <row r="222" spans="1:11" x14ac:dyDescent="0.25">
      <c r="A222" t="s">
        <v>10</v>
      </c>
      <c r="B222" t="s">
        <v>8</v>
      </c>
      <c r="C222" t="s">
        <v>5</v>
      </c>
      <c r="D222" t="s">
        <v>30</v>
      </c>
      <c r="E222" t="str">
        <f>VLOOKUP(Table1[[#This Row],[specimen]],reference!$G$2:$H$17,2,FALSE)</f>
        <v>nonconform</v>
      </c>
      <c r="F222" t="s">
        <v>107</v>
      </c>
      <c r="G222" t="s">
        <v>51</v>
      </c>
      <c r="H222" s="4">
        <v>1</v>
      </c>
      <c r="I222" s="4">
        <f>VLOOKUP(Table1[[#This Row],[block]], 'pivot1 test order'!$R$5:$V$14, 5, FALSE)</f>
        <v>3</v>
      </c>
      <c r="J222" s="4" t="s">
        <v>96</v>
      </c>
      <c r="K222" t="s">
        <v>16</v>
      </c>
    </row>
    <row r="223" spans="1:11" x14ac:dyDescent="0.25">
      <c r="A223" t="s">
        <v>10</v>
      </c>
      <c r="B223" t="s">
        <v>8</v>
      </c>
      <c r="C223" t="s">
        <v>5</v>
      </c>
      <c r="D223" t="s">
        <v>31</v>
      </c>
      <c r="E223" t="str">
        <f>VLOOKUP(Table1[[#This Row],[specimen]],reference!$G$2:$H$17,2,FALSE)</f>
        <v>conform</v>
      </c>
      <c r="F223" t="s">
        <v>107</v>
      </c>
      <c r="G223" t="s">
        <v>51</v>
      </c>
      <c r="H223" s="4">
        <v>1</v>
      </c>
      <c r="I223" s="4">
        <f>VLOOKUP(Table1[[#This Row],[block]], 'pivot1 test order'!$R$5:$V$14, 5, FALSE)</f>
        <v>3</v>
      </c>
      <c r="J223" s="4" t="s">
        <v>97</v>
      </c>
      <c r="K223" t="s">
        <v>17</v>
      </c>
    </row>
    <row r="224" spans="1:11" x14ac:dyDescent="0.25">
      <c r="A224" t="s">
        <v>10</v>
      </c>
      <c r="B224" t="s">
        <v>8</v>
      </c>
      <c r="C224" t="s">
        <v>5</v>
      </c>
      <c r="D224" t="s">
        <v>32</v>
      </c>
      <c r="E224" t="str">
        <f>VLOOKUP(Table1[[#This Row],[specimen]],reference!$G$2:$H$17,2,FALSE)</f>
        <v>nonconform</v>
      </c>
      <c r="F224" t="s">
        <v>107</v>
      </c>
      <c r="G224" t="s">
        <v>51</v>
      </c>
      <c r="H224" s="4">
        <v>1</v>
      </c>
      <c r="I224" s="4">
        <f>VLOOKUP(Table1[[#This Row],[block]], 'pivot1 test order'!$R$5:$V$14, 5, FALSE)</f>
        <v>3</v>
      </c>
      <c r="J224" s="4" t="s">
        <v>98</v>
      </c>
      <c r="K224" t="s">
        <v>16</v>
      </c>
    </row>
    <row r="225" spans="1:11" x14ac:dyDescent="0.25">
      <c r="A225" t="s">
        <v>10</v>
      </c>
      <c r="B225" t="s">
        <v>8</v>
      </c>
      <c r="C225" t="s">
        <v>5</v>
      </c>
      <c r="D225" t="s">
        <v>33</v>
      </c>
      <c r="E225" t="str">
        <f>VLOOKUP(Table1[[#This Row],[specimen]],reference!$G$2:$H$17,2,FALSE)</f>
        <v>conform</v>
      </c>
      <c r="F225" t="s">
        <v>107</v>
      </c>
      <c r="G225" t="s">
        <v>51</v>
      </c>
      <c r="H225" s="4">
        <v>1</v>
      </c>
      <c r="I225" s="4">
        <f>VLOOKUP(Table1[[#This Row],[block]], 'pivot1 test order'!$R$5:$V$14, 5, FALSE)</f>
        <v>3</v>
      </c>
      <c r="J225" s="4" t="s">
        <v>99</v>
      </c>
      <c r="K225" t="s">
        <v>17</v>
      </c>
    </row>
    <row r="226" spans="1:11" x14ac:dyDescent="0.25">
      <c r="A226" t="s">
        <v>11</v>
      </c>
      <c r="B226" t="s">
        <v>8</v>
      </c>
      <c r="C226" t="s">
        <v>6</v>
      </c>
      <c r="D226" t="s">
        <v>18</v>
      </c>
      <c r="E226" t="str">
        <f>VLOOKUP(Table1[[#This Row],[specimen]],reference!$G$2:$H$17,2,FALSE)</f>
        <v>conform</v>
      </c>
      <c r="F226" t="s">
        <v>108</v>
      </c>
      <c r="G226" t="s">
        <v>51</v>
      </c>
      <c r="H226" s="4">
        <v>1</v>
      </c>
      <c r="I226" s="4">
        <f>VLOOKUP(Table1[[#This Row],[block]], 'pivot1 test order'!$R$5:$V$14, 5, FALSE)</f>
        <v>4</v>
      </c>
      <c r="J226" s="4" t="s">
        <v>84</v>
      </c>
      <c r="K226" t="s">
        <v>17</v>
      </c>
    </row>
    <row r="227" spans="1:11" x14ac:dyDescent="0.25">
      <c r="A227" t="s">
        <v>11</v>
      </c>
      <c r="B227" t="s">
        <v>8</v>
      </c>
      <c r="C227" t="s">
        <v>6</v>
      </c>
      <c r="D227" t="s">
        <v>19</v>
      </c>
      <c r="E227" t="str">
        <f>VLOOKUP(Table1[[#This Row],[specimen]],reference!$G$2:$H$17,2,FALSE)</f>
        <v>nonconform</v>
      </c>
      <c r="F227" t="s">
        <v>108</v>
      </c>
      <c r="G227" t="s">
        <v>51</v>
      </c>
      <c r="H227" s="4">
        <v>1</v>
      </c>
      <c r="I227" s="4">
        <f>VLOOKUP(Table1[[#This Row],[block]], 'pivot1 test order'!$R$5:$V$14, 5, FALSE)</f>
        <v>4</v>
      </c>
      <c r="J227" s="4" t="s">
        <v>85</v>
      </c>
      <c r="K227" t="s">
        <v>16</v>
      </c>
    </row>
    <row r="228" spans="1:11" x14ac:dyDescent="0.25">
      <c r="A228" t="s">
        <v>11</v>
      </c>
      <c r="B228" t="s">
        <v>8</v>
      </c>
      <c r="C228" t="s">
        <v>6</v>
      </c>
      <c r="D228" t="s">
        <v>20</v>
      </c>
      <c r="E228" t="str">
        <f>VLOOKUP(Table1[[#This Row],[specimen]],reference!$G$2:$H$17,2,FALSE)</f>
        <v>conform</v>
      </c>
      <c r="F228" t="s">
        <v>108</v>
      </c>
      <c r="G228" t="s">
        <v>51</v>
      </c>
      <c r="H228" s="4">
        <v>1</v>
      </c>
      <c r="I228" s="4">
        <f>VLOOKUP(Table1[[#This Row],[block]], 'pivot1 test order'!$R$5:$V$14, 5, FALSE)</f>
        <v>4</v>
      </c>
      <c r="J228" s="4" t="s">
        <v>86</v>
      </c>
      <c r="K228" t="s">
        <v>17</v>
      </c>
    </row>
    <row r="229" spans="1:11" x14ac:dyDescent="0.25">
      <c r="A229" t="s">
        <v>11</v>
      </c>
      <c r="B229" t="s">
        <v>8</v>
      </c>
      <c r="C229" t="s">
        <v>6</v>
      </c>
      <c r="D229" t="s">
        <v>21</v>
      </c>
      <c r="E229" t="str">
        <f>VLOOKUP(Table1[[#This Row],[specimen]],reference!$G$2:$H$17,2,FALSE)</f>
        <v>nonconform</v>
      </c>
      <c r="F229" t="s">
        <v>108</v>
      </c>
      <c r="G229" t="s">
        <v>51</v>
      </c>
      <c r="H229" s="4">
        <v>1</v>
      </c>
      <c r="I229" s="4">
        <f>VLOOKUP(Table1[[#This Row],[block]], 'pivot1 test order'!$R$5:$V$14, 5, FALSE)</f>
        <v>4</v>
      </c>
      <c r="J229" s="4" t="s">
        <v>87</v>
      </c>
      <c r="K229" t="s">
        <v>16</v>
      </c>
    </row>
    <row r="230" spans="1:11" x14ac:dyDescent="0.25">
      <c r="A230" t="s">
        <v>11</v>
      </c>
      <c r="B230" t="s">
        <v>8</v>
      </c>
      <c r="C230" t="s">
        <v>6</v>
      </c>
      <c r="D230" t="s">
        <v>22</v>
      </c>
      <c r="E230" t="str">
        <f>VLOOKUP(Table1[[#This Row],[specimen]],reference!$G$2:$H$17,2,FALSE)</f>
        <v>conform</v>
      </c>
      <c r="F230" t="s">
        <v>108</v>
      </c>
      <c r="G230" t="s">
        <v>51</v>
      </c>
      <c r="H230" s="4">
        <v>1</v>
      </c>
      <c r="I230" s="4">
        <f>VLOOKUP(Table1[[#This Row],[block]], 'pivot1 test order'!$R$5:$V$14, 5, FALSE)</f>
        <v>4</v>
      </c>
      <c r="J230" s="4" t="s">
        <v>88</v>
      </c>
      <c r="K230" t="s">
        <v>17</v>
      </c>
    </row>
    <row r="231" spans="1:11" x14ac:dyDescent="0.25">
      <c r="A231" t="s">
        <v>11</v>
      </c>
      <c r="B231" t="s">
        <v>8</v>
      </c>
      <c r="C231" t="s">
        <v>6</v>
      </c>
      <c r="D231" t="s">
        <v>23</v>
      </c>
      <c r="E231" t="str">
        <f>VLOOKUP(Table1[[#This Row],[specimen]],reference!$G$2:$H$17,2,FALSE)</f>
        <v>nonconform</v>
      </c>
      <c r="F231" t="s">
        <v>108</v>
      </c>
      <c r="G231" t="s">
        <v>51</v>
      </c>
      <c r="H231" s="4">
        <v>1</v>
      </c>
      <c r="I231" s="4">
        <f>VLOOKUP(Table1[[#This Row],[block]], 'pivot1 test order'!$R$5:$V$14, 5, FALSE)</f>
        <v>4</v>
      </c>
      <c r="J231" s="4" t="s">
        <v>89</v>
      </c>
      <c r="K231" t="s">
        <v>16</v>
      </c>
    </row>
    <row r="232" spans="1:11" x14ac:dyDescent="0.25">
      <c r="A232" t="s">
        <v>11</v>
      </c>
      <c r="B232" t="s">
        <v>8</v>
      </c>
      <c r="C232" t="s">
        <v>6</v>
      </c>
      <c r="D232" t="s">
        <v>24</v>
      </c>
      <c r="E232" t="str">
        <f>VLOOKUP(Table1[[#This Row],[specimen]],reference!$G$2:$H$17,2,FALSE)</f>
        <v>nonconform</v>
      </c>
      <c r="F232" t="s">
        <v>108</v>
      </c>
      <c r="G232" t="s">
        <v>51</v>
      </c>
      <c r="H232" s="4">
        <v>1</v>
      </c>
      <c r="I232" s="4">
        <f>VLOOKUP(Table1[[#This Row],[block]], 'pivot1 test order'!$R$5:$V$14, 5, FALSE)</f>
        <v>4</v>
      </c>
      <c r="J232" s="4" t="s">
        <v>90</v>
      </c>
      <c r="K232" t="s">
        <v>16</v>
      </c>
    </row>
    <row r="233" spans="1:11" x14ac:dyDescent="0.25">
      <c r="A233" t="s">
        <v>11</v>
      </c>
      <c r="B233" t="s">
        <v>8</v>
      </c>
      <c r="C233" t="s">
        <v>6</v>
      </c>
      <c r="D233" t="s">
        <v>25</v>
      </c>
      <c r="E233" t="str">
        <f>VLOOKUP(Table1[[#This Row],[specimen]],reference!$G$2:$H$17,2,FALSE)</f>
        <v>nonconform</v>
      </c>
      <c r="F233" t="s">
        <v>108</v>
      </c>
      <c r="G233" t="s">
        <v>51</v>
      </c>
      <c r="H233" s="4">
        <v>1</v>
      </c>
      <c r="I233" s="4">
        <f>VLOOKUP(Table1[[#This Row],[block]], 'pivot1 test order'!$R$5:$V$14, 5, FALSE)</f>
        <v>4</v>
      </c>
      <c r="J233" s="4" t="s">
        <v>91</v>
      </c>
      <c r="K233" t="s">
        <v>16</v>
      </c>
    </row>
    <row r="234" spans="1:11" x14ac:dyDescent="0.25">
      <c r="A234" t="s">
        <v>11</v>
      </c>
      <c r="B234" t="s">
        <v>8</v>
      </c>
      <c r="C234" t="s">
        <v>6</v>
      </c>
      <c r="D234" t="s">
        <v>26</v>
      </c>
      <c r="E234" t="str">
        <f>VLOOKUP(Table1[[#This Row],[specimen]],reference!$G$2:$H$17,2,FALSE)</f>
        <v>conform</v>
      </c>
      <c r="F234" t="s">
        <v>109</v>
      </c>
      <c r="G234" t="s">
        <v>51</v>
      </c>
      <c r="H234" s="4">
        <v>1</v>
      </c>
      <c r="I234" s="4">
        <f>VLOOKUP(Table1[[#This Row],[block]], 'pivot1 test order'!$R$5:$V$14, 5, FALSE)</f>
        <v>1</v>
      </c>
      <c r="J234" s="4" t="s">
        <v>92</v>
      </c>
      <c r="K234" t="s">
        <v>17</v>
      </c>
    </row>
    <row r="235" spans="1:11" x14ac:dyDescent="0.25">
      <c r="A235" t="s">
        <v>11</v>
      </c>
      <c r="B235" t="s">
        <v>8</v>
      </c>
      <c r="C235" t="s">
        <v>6</v>
      </c>
      <c r="D235" t="s">
        <v>27</v>
      </c>
      <c r="E235" t="str">
        <f>VLOOKUP(Table1[[#This Row],[specimen]],reference!$G$2:$H$17,2,FALSE)</f>
        <v>nonconform</v>
      </c>
      <c r="F235" t="s">
        <v>109</v>
      </c>
      <c r="G235" t="s">
        <v>51</v>
      </c>
      <c r="H235" s="4">
        <v>1</v>
      </c>
      <c r="I235" s="4">
        <f>VLOOKUP(Table1[[#This Row],[block]], 'pivot1 test order'!$R$5:$V$14, 5, FALSE)</f>
        <v>1</v>
      </c>
      <c r="J235" s="4" t="s">
        <v>93</v>
      </c>
      <c r="K235" t="s">
        <v>16</v>
      </c>
    </row>
    <row r="236" spans="1:11" x14ac:dyDescent="0.25">
      <c r="A236" t="s">
        <v>11</v>
      </c>
      <c r="B236" t="s">
        <v>8</v>
      </c>
      <c r="C236" t="s">
        <v>6</v>
      </c>
      <c r="D236" t="s">
        <v>28</v>
      </c>
      <c r="E236" t="str">
        <f>VLOOKUP(Table1[[#This Row],[specimen]],reference!$G$2:$H$17,2,FALSE)</f>
        <v>nonconform</v>
      </c>
      <c r="F236" t="s">
        <v>109</v>
      </c>
      <c r="G236" t="s">
        <v>51</v>
      </c>
      <c r="H236" s="4">
        <v>1</v>
      </c>
      <c r="I236" s="4">
        <f>VLOOKUP(Table1[[#This Row],[block]], 'pivot1 test order'!$R$5:$V$14, 5, FALSE)</f>
        <v>1</v>
      </c>
      <c r="J236" s="4" t="s">
        <v>94</v>
      </c>
      <c r="K236" t="s">
        <v>16</v>
      </c>
    </row>
    <row r="237" spans="1:11" x14ac:dyDescent="0.25">
      <c r="A237" t="s">
        <v>11</v>
      </c>
      <c r="B237" t="s">
        <v>8</v>
      </c>
      <c r="C237" t="s">
        <v>6</v>
      </c>
      <c r="D237" t="s">
        <v>29</v>
      </c>
      <c r="E237" t="str">
        <f>VLOOKUP(Table1[[#This Row],[specimen]],reference!$G$2:$H$17,2,FALSE)</f>
        <v>conform</v>
      </c>
      <c r="F237" t="s">
        <v>109</v>
      </c>
      <c r="G237" t="s">
        <v>51</v>
      </c>
      <c r="H237" s="4">
        <v>1</v>
      </c>
      <c r="I237" s="4">
        <f>VLOOKUP(Table1[[#This Row],[block]], 'pivot1 test order'!$R$5:$V$14, 5, FALSE)</f>
        <v>1</v>
      </c>
      <c r="J237" s="4" t="s">
        <v>95</v>
      </c>
      <c r="K237" t="s">
        <v>17</v>
      </c>
    </row>
    <row r="238" spans="1:11" x14ac:dyDescent="0.25">
      <c r="A238" t="s">
        <v>11</v>
      </c>
      <c r="B238" t="s">
        <v>8</v>
      </c>
      <c r="C238" t="s">
        <v>6</v>
      </c>
      <c r="D238" t="s">
        <v>30</v>
      </c>
      <c r="E238" t="str">
        <f>VLOOKUP(Table1[[#This Row],[specimen]],reference!$G$2:$H$17,2,FALSE)</f>
        <v>nonconform</v>
      </c>
      <c r="F238" t="s">
        <v>109</v>
      </c>
      <c r="G238" t="s">
        <v>51</v>
      </c>
      <c r="H238" s="4">
        <v>1</v>
      </c>
      <c r="I238" s="4">
        <f>VLOOKUP(Table1[[#This Row],[block]], 'pivot1 test order'!$R$5:$V$14, 5, FALSE)</f>
        <v>1</v>
      </c>
      <c r="J238" s="4" t="s">
        <v>96</v>
      </c>
      <c r="K238" t="s">
        <v>17</v>
      </c>
    </row>
    <row r="239" spans="1:11" x14ac:dyDescent="0.25">
      <c r="A239" t="s">
        <v>11</v>
      </c>
      <c r="B239" t="s">
        <v>8</v>
      </c>
      <c r="C239" t="s">
        <v>6</v>
      </c>
      <c r="D239" t="s">
        <v>31</v>
      </c>
      <c r="E239" t="str">
        <f>VLOOKUP(Table1[[#This Row],[specimen]],reference!$G$2:$H$17,2,FALSE)</f>
        <v>conform</v>
      </c>
      <c r="F239" t="s">
        <v>109</v>
      </c>
      <c r="G239" t="s">
        <v>51</v>
      </c>
      <c r="H239" s="4">
        <v>1</v>
      </c>
      <c r="I239" s="4">
        <f>VLOOKUP(Table1[[#This Row],[block]], 'pivot1 test order'!$R$5:$V$14, 5, FALSE)</f>
        <v>1</v>
      </c>
      <c r="J239" s="4" t="s">
        <v>97</v>
      </c>
      <c r="K239" t="s">
        <v>17</v>
      </c>
    </row>
    <row r="240" spans="1:11" x14ac:dyDescent="0.25">
      <c r="A240" t="s">
        <v>11</v>
      </c>
      <c r="B240" t="s">
        <v>8</v>
      </c>
      <c r="C240" t="s">
        <v>6</v>
      </c>
      <c r="D240" t="s">
        <v>32</v>
      </c>
      <c r="E240" t="str">
        <f>VLOOKUP(Table1[[#This Row],[specimen]],reference!$G$2:$H$17,2,FALSE)</f>
        <v>nonconform</v>
      </c>
      <c r="F240" t="s">
        <v>109</v>
      </c>
      <c r="G240" t="s">
        <v>51</v>
      </c>
      <c r="H240" s="4">
        <v>1</v>
      </c>
      <c r="I240" s="4">
        <f>VLOOKUP(Table1[[#This Row],[block]], 'pivot1 test order'!$R$5:$V$14, 5, FALSE)</f>
        <v>1</v>
      </c>
      <c r="J240" s="4" t="s">
        <v>98</v>
      </c>
      <c r="K240" t="s">
        <v>16</v>
      </c>
    </row>
    <row r="241" spans="1:11" x14ac:dyDescent="0.25">
      <c r="A241" t="s">
        <v>11</v>
      </c>
      <c r="B241" t="s">
        <v>8</v>
      </c>
      <c r="C241" t="s">
        <v>6</v>
      </c>
      <c r="D241" t="s">
        <v>33</v>
      </c>
      <c r="E241" t="str">
        <f>VLOOKUP(Table1[[#This Row],[specimen]],reference!$G$2:$H$17,2,FALSE)</f>
        <v>conform</v>
      </c>
      <c r="F241" t="s">
        <v>109</v>
      </c>
      <c r="G241" t="s">
        <v>51</v>
      </c>
      <c r="H241" s="4">
        <v>1</v>
      </c>
      <c r="I241" s="4">
        <f>VLOOKUP(Table1[[#This Row],[block]], 'pivot1 test order'!$R$5:$V$14, 5, FALSE)</f>
        <v>1</v>
      </c>
      <c r="J241" s="4" t="s">
        <v>99</v>
      </c>
      <c r="K241" t="s">
        <v>17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06975-46AD-4C2F-8313-369346AAFFB1}">
  <dimension ref="A3:V37"/>
  <sheetViews>
    <sheetView tabSelected="1" topLeftCell="E1" workbookViewId="0">
      <selection activeCell="T20" sqref="T20"/>
    </sheetView>
  </sheetViews>
  <sheetFormatPr defaultRowHeight="15" x14ac:dyDescent="0.25"/>
  <cols>
    <col min="1" max="1" width="13.140625" bestFit="1" customWidth="1"/>
    <col min="2" max="2" width="8.85546875" bestFit="1" customWidth="1"/>
    <col min="3" max="5" width="11.5703125" bestFit="1" customWidth="1"/>
    <col min="6" max="6" width="8.42578125" bestFit="1" customWidth="1"/>
    <col min="7" max="7" width="5.42578125" bestFit="1" customWidth="1"/>
    <col min="9" max="11" width="9.140625" style="5"/>
    <col min="12" max="12" width="10.85546875" style="5" bestFit="1" customWidth="1"/>
    <col min="13" max="13" width="20.140625" style="6" customWidth="1"/>
    <col min="14" max="14" width="10.7109375" style="7" bestFit="1" customWidth="1"/>
    <col min="17" max="19" width="9.140625" style="4"/>
    <col min="20" max="20" width="12" style="4" bestFit="1" customWidth="1"/>
    <col min="21" max="21" width="16.7109375" style="4" bestFit="1" customWidth="1"/>
    <col min="22" max="22" width="10.7109375" style="4" bestFit="1" customWidth="1"/>
  </cols>
  <sheetData>
    <row r="3" spans="1:22" x14ac:dyDescent="0.25">
      <c r="A3" s="2" t="s">
        <v>34</v>
      </c>
    </row>
    <row r="4" spans="1:22" ht="15.75" thickBot="1" x14ac:dyDescent="0.3">
      <c r="A4" s="2" t="s">
        <v>48</v>
      </c>
      <c r="B4" s="2" t="s">
        <v>4</v>
      </c>
      <c r="C4" s="2" t="s">
        <v>56</v>
      </c>
      <c r="D4" s="2" t="s">
        <v>37</v>
      </c>
      <c r="E4" s="2" t="s">
        <v>0</v>
      </c>
      <c r="F4" s="2" t="s">
        <v>1</v>
      </c>
      <c r="G4" t="s">
        <v>52</v>
      </c>
      <c r="I4" s="5" t="s">
        <v>4</v>
      </c>
      <c r="J4" s="5" t="s">
        <v>37</v>
      </c>
      <c r="K4" s="5" t="s">
        <v>0</v>
      </c>
      <c r="L4" s="5" t="s">
        <v>54</v>
      </c>
      <c r="M4" s="6" t="s">
        <v>55</v>
      </c>
      <c r="N4" s="7" t="s">
        <v>56</v>
      </c>
      <c r="Q4" s="4" t="s">
        <v>4</v>
      </c>
      <c r="R4" s="4" t="s">
        <v>37</v>
      </c>
      <c r="S4" s="4" t="s">
        <v>0</v>
      </c>
      <c r="T4" s="4" t="s">
        <v>54</v>
      </c>
      <c r="U4" s="4" t="s">
        <v>55</v>
      </c>
      <c r="V4" s="4" t="s">
        <v>56</v>
      </c>
    </row>
    <row r="5" spans="1:22" x14ac:dyDescent="0.25">
      <c r="A5" t="s">
        <v>49</v>
      </c>
      <c r="B5" t="s">
        <v>5</v>
      </c>
      <c r="C5">
        <v>1</v>
      </c>
      <c r="D5" t="s">
        <v>39</v>
      </c>
      <c r="E5" t="s">
        <v>2</v>
      </c>
      <c r="F5" t="s">
        <v>7</v>
      </c>
      <c r="G5" s="1">
        <v>8</v>
      </c>
      <c r="I5" s="5" t="s">
        <v>5</v>
      </c>
      <c r="J5" s="5" t="s">
        <v>38</v>
      </c>
      <c r="K5" s="5" t="s">
        <v>2</v>
      </c>
      <c r="L5" s="5">
        <f ca="1">RAND()</f>
        <v>9.0795821376090435E-2</v>
      </c>
      <c r="M5" s="6">
        <v>0.30533468892515014</v>
      </c>
      <c r="N5" s="7">
        <f>RANK(M5, $M$5:$M$10)</f>
        <v>4</v>
      </c>
      <c r="P5" s="30" t="s">
        <v>110</v>
      </c>
      <c r="Q5" s="12" t="s">
        <v>5</v>
      </c>
      <c r="R5" s="13" t="s">
        <v>100</v>
      </c>
      <c r="S5" s="13" t="s">
        <v>2</v>
      </c>
      <c r="T5" s="13">
        <v>0.78674953945177961</v>
      </c>
      <c r="U5" s="13">
        <v>0.30533468892515014</v>
      </c>
      <c r="V5" s="14">
        <v>4</v>
      </c>
    </row>
    <row r="6" spans="1:22" x14ac:dyDescent="0.25">
      <c r="B6" t="s">
        <v>5</v>
      </c>
      <c r="C6">
        <v>2</v>
      </c>
      <c r="D6" t="s">
        <v>43</v>
      </c>
      <c r="E6" t="s">
        <v>9</v>
      </c>
      <c r="F6" t="s">
        <v>8</v>
      </c>
      <c r="G6" s="1">
        <v>8</v>
      </c>
      <c r="I6" s="5" t="s">
        <v>5</v>
      </c>
      <c r="J6" s="5" t="s">
        <v>39</v>
      </c>
      <c r="K6" s="5" t="s">
        <v>2</v>
      </c>
      <c r="L6" s="5">
        <f t="shared" ref="L6:L10" ca="1" si="0">RAND()</f>
        <v>0.11247532732705268</v>
      </c>
      <c r="M6" s="6">
        <v>0.99812432433098253</v>
      </c>
      <c r="N6" s="7">
        <f t="shared" ref="N6:N10" si="1">RANK(M6, $M$5:$M$10)</f>
        <v>1</v>
      </c>
      <c r="P6" s="30"/>
      <c r="Q6" s="15" t="s">
        <v>5</v>
      </c>
      <c r="R6" s="16" t="s">
        <v>101</v>
      </c>
      <c r="S6" s="16" t="s">
        <v>2</v>
      </c>
      <c r="T6" s="16">
        <v>0.25999477717416664</v>
      </c>
      <c r="U6" s="16">
        <v>0.99812432433098253</v>
      </c>
      <c r="V6" s="17">
        <v>1</v>
      </c>
    </row>
    <row r="7" spans="1:22" x14ac:dyDescent="0.25">
      <c r="B7" t="s">
        <v>5</v>
      </c>
      <c r="C7">
        <v>3</v>
      </c>
      <c r="D7" t="s">
        <v>45</v>
      </c>
      <c r="E7" t="s">
        <v>10</v>
      </c>
      <c r="F7" t="s">
        <v>8</v>
      </c>
      <c r="G7" s="1">
        <v>8</v>
      </c>
      <c r="I7" s="5" t="s">
        <v>5</v>
      </c>
      <c r="J7" s="5" t="s">
        <v>42</v>
      </c>
      <c r="K7" s="5" t="s">
        <v>9</v>
      </c>
      <c r="L7" s="5">
        <f t="shared" ca="1" si="0"/>
        <v>0.81653289110441762</v>
      </c>
      <c r="M7" s="6">
        <v>0.21484828594460847</v>
      </c>
      <c r="N7" s="7">
        <f t="shared" si="1"/>
        <v>5</v>
      </c>
      <c r="P7" s="30"/>
      <c r="Q7" s="15" t="s">
        <v>5</v>
      </c>
      <c r="R7" s="16" t="s">
        <v>104</v>
      </c>
      <c r="S7" s="16" t="s">
        <v>9</v>
      </c>
      <c r="T7" s="16">
        <v>0.91538921696569686</v>
      </c>
      <c r="U7" s="16">
        <v>0.21484828594460847</v>
      </c>
      <c r="V7" s="17">
        <v>5</v>
      </c>
    </row>
    <row r="8" spans="1:22" x14ac:dyDescent="0.25">
      <c r="B8" t="s">
        <v>5</v>
      </c>
      <c r="C8">
        <v>4</v>
      </c>
      <c r="D8" t="s">
        <v>38</v>
      </c>
      <c r="E8" t="s">
        <v>2</v>
      </c>
      <c r="F8" t="s">
        <v>7</v>
      </c>
      <c r="G8" s="1">
        <v>8</v>
      </c>
      <c r="I8" s="5" t="s">
        <v>5</v>
      </c>
      <c r="J8" s="5" t="s">
        <v>43</v>
      </c>
      <c r="K8" s="5" t="s">
        <v>9</v>
      </c>
      <c r="L8" s="5">
        <f t="shared" ca="1" si="0"/>
        <v>0.67339165309264681</v>
      </c>
      <c r="M8" s="6">
        <v>0.98219183463609672</v>
      </c>
      <c r="N8" s="7">
        <f t="shared" si="1"/>
        <v>2</v>
      </c>
      <c r="P8" s="30"/>
      <c r="Q8" s="15" t="s">
        <v>5</v>
      </c>
      <c r="R8" s="16" t="s">
        <v>105</v>
      </c>
      <c r="S8" s="16" t="s">
        <v>9</v>
      </c>
      <c r="T8" s="16">
        <v>0.1181340551033081</v>
      </c>
      <c r="U8" s="16">
        <v>0.98219183463609672</v>
      </c>
      <c r="V8" s="17">
        <v>2</v>
      </c>
    </row>
    <row r="9" spans="1:22" x14ac:dyDescent="0.25">
      <c r="B9" t="s">
        <v>5</v>
      </c>
      <c r="C9">
        <v>5</v>
      </c>
      <c r="D9" t="s">
        <v>42</v>
      </c>
      <c r="E9" t="s">
        <v>9</v>
      </c>
      <c r="F9" t="s">
        <v>8</v>
      </c>
      <c r="G9" s="1">
        <v>8</v>
      </c>
      <c r="I9" s="5" t="s">
        <v>5</v>
      </c>
      <c r="J9" s="5" t="s">
        <v>44</v>
      </c>
      <c r="K9" s="5" t="s">
        <v>10</v>
      </c>
      <c r="L9" s="5">
        <f t="shared" ca="1" si="0"/>
        <v>0.40942009842693283</v>
      </c>
      <c r="M9" s="6">
        <v>0.13758537379230673</v>
      </c>
      <c r="N9" s="7">
        <f t="shared" si="1"/>
        <v>6</v>
      </c>
      <c r="P9" s="30"/>
      <c r="Q9" s="15" t="s">
        <v>5</v>
      </c>
      <c r="R9" s="16" t="s">
        <v>106</v>
      </c>
      <c r="S9" s="16" t="s">
        <v>10</v>
      </c>
      <c r="T9" s="16">
        <v>0.44613784117065336</v>
      </c>
      <c r="U9" s="16">
        <v>0.13758537379230673</v>
      </c>
      <c r="V9" s="17">
        <v>6</v>
      </c>
    </row>
    <row r="10" spans="1:22" ht="15.75" thickBot="1" x14ac:dyDescent="0.3">
      <c r="B10" t="s">
        <v>5</v>
      </c>
      <c r="C10">
        <v>6</v>
      </c>
      <c r="D10" t="s">
        <v>44</v>
      </c>
      <c r="E10" t="s">
        <v>10</v>
      </c>
      <c r="F10" t="s">
        <v>8</v>
      </c>
      <c r="G10" s="1">
        <v>8</v>
      </c>
      <c r="I10" s="5" t="s">
        <v>5</v>
      </c>
      <c r="J10" s="5" t="s">
        <v>45</v>
      </c>
      <c r="K10" s="5" t="s">
        <v>10</v>
      </c>
      <c r="L10" s="5">
        <f t="shared" ca="1" si="0"/>
        <v>0.41895837981567619</v>
      </c>
      <c r="M10" s="6">
        <v>0.4518319840878201</v>
      </c>
      <c r="N10" s="7">
        <f t="shared" si="1"/>
        <v>3</v>
      </c>
      <c r="P10" s="30"/>
      <c r="Q10" s="18" t="s">
        <v>5</v>
      </c>
      <c r="R10" s="19" t="s">
        <v>107</v>
      </c>
      <c r="S10" s="19" t="s">
        <v>10</v>
      </c>
      <c r="T10" s="19">
        <v>0.84593518259276346</v>
      </c>
      <c r="U10" s="19">
        <v>0.4518319840878201</v>
      </c>
      <c r="V10" s="20">
        <v>3</v>
      </c>
    </row>
    <row r="11" spans="1:22" x14ac:dyDescent="0.25">
      <c r="B11" t="s">
        <v>6</v>
      </c>
      <c r="C11">
        <v>1</v>
      </c>
      <c r="D11" t="s">
        <v>47</v>
      </c>
      <c r="E11" t="s">
        <v>11</v>
      </c>
      <c r="F11" t="s">
        <v>8</v>
      </c>
      <c r="G11" s="1">
        <v>8</v>
      </c>
      <c r="P11" s="30"/>
      <c r="Q11" s="21" t="s">
        <v>6</v>
      </c>
      <c r="R11" s="22" t="s">
        <v>102</v>
      </c>
      <c r="S11" s="22" t="s">
        <v>3</v>
      </c>
      <c r="T11" s="22">
        <v>0.61852379466955465</v>
      </c>
      <c r="U11" s="22">
        <v>0.19027428843742</v>
      </c>
      <c r="V11" s="23">
        <v>3</v>
      </c>
    </row>
    <row r="12" spans="1:22" x14ac:dyDescent="0.25">
      <c r="B12" t="s">
        <v>6</v>
      </c>
      <c r="C12">
        <v>2</v>
      </c>
      <c r="D12" t="s">
        <v>41</v>
      </c>
      <c r="E12" t="s">
        <v>3</v>
      </c>
      <c r="F12" t="s">
        <v>7</v>
      </c>
      <c r="G12" s="1">
        <v>8</v>
      </c>
      <c r="P12" s="30"/>
      <c r="Q12" s="24" t="s">
        <v>6</v>
      </c>
      <c r="R12" s="25" t="s">
        <v>103</v>
      </c>
      <c r="S12" s="25" t="s">
        <v>3</v>
      </c>
      <c r="T12" s="25">
        <v>0.49463152227616081</v>
      </c>
      <c r="U12" s="25">
        <v>0.45481231698670777</v>
      </c>
      <c r="V12" s="26">
        <v>2</v>
      </c>
    </row>
    <row r="13" spans="1:22" x14ac:dyDescent="0.25">
      <c r="B13" t="s">
        <v>6</v>
      </c>
      <c r="C13">
        <v>3</v>
      </c>
      <c r="D13" t="s">
        <v>40</v>
      </c>
      <c r="E13" t="s">
        <v>3</v>
      </c>
      <c r="F13" t="s">
        <v>7</v>
      </c>
      <c r="G13" s="1">
        <v>8</v>
      </c>
      <c r="P13" s="30"/>
      <c r="Q13" s="24" t="s">
        <v>6</v>
      </c>
      <c r="R13" s="25" t="s">
        <v>108</v>
      </c>
      <c r="S13" s="25" t="s">
        <v>11</v>
      </c>
      <c r="T13" s="25">
        <v>0.31612882122902741</v>
      </c>
      <c r="U13" s="25">
        <v>1.7269121896043904E-2</v>
      </c>
      <c r="V13" s="26">
        <v>4</v>
      </c>
    </row>
    <row r="14" spans="1:22" ht="15.75" thickBot="1" x14ac:dyDescent="0.3">
      <c r="B14" t="s">
        <v>6</v>
      </c>
      <c r="C14">
        <v>4</v>
      </c>
      <c r="D14" t="s">
        <v>46</v>
      </c>
      <c r="E14" t="s">
        <v>11</v>
      </c>
      <c r="F14" t="s">
        <v>8</v>
      </c>
      <c r="G14" s="1">
        <v>8</v>
      </c>
      <c r="I14" s="5" t="s">
        <v>4</v>
      </c>
      <c r="J14" s="5" t="s">
        <v>37</v>
      </c>
      <c r="K14" s="5" t="s">
        <v>0</v>
      </c>
      <c r="L14" s="5" t="s">
        <v>54</v>
      </c>
      <c r="M14" s="6" t="s">
        <v>55</v>
      </c>
      <c r="N14" s="7" t="s">
        <v>56</v>
      </c>
      <c r="P14" s="30"/>
      <c r="Q14" s="27" t="s">
        <v>6</v>
      </c>
      <c r="R14" s="28" t="s">
        <v>109</v>
      </c>
      <c r="S14" s="28" t="s">
        <v>11</v>
      </c>
      <c r="T14" s="28">
        <v>0.45208452094952989</v>
      </c>
      <c r="U14" s="28">
        <v>0.58966624090606712</v>
      </c>
      <c r="V14" s="29">
        <v>1</v>
      </c>
    </row>
    <row r="15" spans="1:22" x14ac:dyDescent="0.25">
      <c r="A15" t="s">
        <v>57</v>
      </c>
      <c r="G15" s="1">
        <v>80</v>
      </c>
      <c r="I15" s="5" t="s">
        <v>6</v>
      </c>
      <c r="J15" s="5" t="s">
        <v>40</v>
      </c>
      <c r="K15" s="5" t="s">
        <v>3</v>
      </c>
      <c r="L15" s="5">
        <f t="shared" ref="L15:L18" ca="1" si="2">RAND()</f>
        <v>0.42491289275077437</v>
      </c>
      <c r="M15" s="6">
        <v>0.19027428843742</v>
      </c>
      <c r="N15" s="7">
        <f>RANK(M15, $M$15:$M$18)</f>
        <v>3</v>
      </c>
    </row>
    <row r="16" spans="1:22" x14ac:dyDescent="0.25">
      <c r="A16" t="s">
        <v>50</v>
      </c>
      <c r="B16" t="s">
        <v>5</v>
      </c>
      <c r="C16">
        <v>1</v>
      </c>
      <c r="D16" t="s">
        <v>39</v>
      </c>
      <c r="E16" t="s">
        <v>2</v>
      </c>
      <c r="F16" t="s">
        <v>7</v>
      </c>
      <c r="G16" s="1">
        <v>8</v>
      </c>
      <c r="I16" s="5" t="s">
        <v>6</v>
      </c>
      <c r="J16" s="5" t="s">
        <v>41</v>
      </c>
      <c r="K16" s="5" t="s">
        <v>3</v>
      </c>
      <c r="L16" s="5">
        <f t="shared" ca="1" si="2"/>
        <v>0.37841588642749358</v>
      </c>
      <c r="M16" s="6">
        <v>0.45481231698670777</v>
      </c>
      <c r="N16" s="7">
        <f t="shared" ref="N16:N18" si="3">RANK(M16, $M$15:$M$18)</f>
        <v>2</v>
      </c>
    </row>
    <row r="17" spans="1:14" x14ac:dyDescent="0.25">
      <c r="B17" t="s">
        <v>5</v>
      </c>
      <c r="C17">
        <v>2</v>
      </c>
      <c r="D17" t="s">
        <v>43</v>
      </c>
      <c r="E17" t="s">
        <v>9</v>
      </c>
      <c r="F17" t="s">
        <v>8</v>
      </c>
      <c r="G17" s="1">
        <v>8</v>
      </c>
      <c r="I17" s="5" t="s">
        <v>6</v>
      </c>
      <c r="J17" s="5" t="s">
        <v>46</v>
      </c>
      <c r="K17" s="5" t="s">
        <v>11</v>
      </c>
      <c r="L17" s="5">
        <f t="shared" ca="1" si="2"/>
        <v>0.9058098622009505</v>
      </c>
      <c r="M17" s="6">
        <v>1.7269121896043904E-2</v>
      </c>
      <c r="N17" s="7">
        <f t="shared" si="3"/>
        <v>4</v>
      </c>
    </row>
    <row r="18" spans="1:14" x14ac:dyDescent="0.25">
      <c r="B18" t="s">
        <v>5</v>
      </c>
      <c r="C18">
        <v>3</v>
      </c>
      <c r="D18" t="s">
        <v>45</v>
      </c>
      <c r="E18" t="s">
        <v>10</v>
      </c>
      <c r="F18" t="s">
        <v>8</v>
      </c>
      <c r="G18" s="1">
        <v>8</v>
      </c>
      <c r="I18" s="5" t="s">
        <v>6</v>
      </c>
      <c r="J18" s="5" t="s">
        <v>47</v>
      </c>
      <c r="K18" s="5" t="s">
        <v>11</v>
      </c>
      <c r="L18" s="5">
        <f t="shared" ca="1" si="2"/>
        <v>0.42919700410857864</v>
      </c>
      <c r="M18" s="6">
        <v>0.58966624090606712</v>
      </c>
      <c r="N18" s="7">
        <f t="shared" si="3"/>
        <v>1</v>
      </c>
    </row>
    <row r="19" spans="1:14" x14ac:dyDescent="0.25">
      <c r="B19" t="s">
        <v>5</v>
      </c>
      <c r="C19">
        <v>4</v>
      </c>
      <c r="D19" t="s">
        <v>38</v>
      </c>
      <c r="E19" t="s">
        <v>2</v>
      </c>
      <c r="F19" t="s">
        <v>7</v>
      </c>
      <c r="G19" s="1">
        <v>8</v>
      </c>
    </row>
    <row r="20" spans="1:14" x14ac:dyDescent="0.25">
      <c r="B20" t="s">
        <v>5</v>
      </c>
      <c r="C20">
        <v>5</v>
      </c>
      <c r="D20" t="s">
        <v>42</v>
      </c>
      <c r="E20" t="s">
        <v>9</v>
      </c>
      <c r="F20" t="s">
        <v>8</v>
      </c>
      <c r="G20" s="1">
        <v>8</v>
      </c>
    </row>
    <row r="21" spans="1:14" x14ac:dyDescent="0.25">
      <c r="B21" t="s">
        <v>5</v>
      </c>
      <c r="C21">
        <v>6</v>
      </c>
      <c r="D21" t="s">
        <v>44</v>
      </c>
      <c r="E21" t="s">
        <v>10</v>
      </c>
      <c r="F21" t="s">
        <v>8</v>
      </c>
      <c r="G21" s="1">
        <v>8</v>
      </c>
    </row>
    <row r="22" spans="1:14" x14ac:dyDescent="0.25">
      <c r="B22" t="s">
        <v>6</v>
      </c>
      <c r="C22">
        <v>1</v>
      </c>
      <c r="D22" t="s">
        <v>47</v>
      </c>
      <c r="E22" t="s">
        <v>11</v>
      </c>
      <c r="F22" t="s">
        <v>8</v>
      </c>
      <c r="G22" s="1">
        <v>8</v>
      </c>
    </row>
    <row r="23" spans="1:14" x14ac:dyDescent="0.25">
      <c r="B23" t="s">
        <v>6</v>
      </c>
      <c r="C23">
        <v>2</v>
      </c>
      <c r="D23" t="s">
        <v>41</v>
      </c>
      <c r="E23" t="s">
        <v>3</v>
      </c>
      <c r="F23" t="s">
        <v>7</v>
      </c>
      <c r="G23" s="1">
        <v>8</v>
      </c>
    </row>
    <row r="24" spans="1:14" x14ac:dyDescent="0.25">
      <c r="B24" t="s">
        <v>6</v>
      </c>
      <c r="C24">
        <v>3</v>
      </c>
      <c r="D24" t="s">
        <v>40</v>
      </c>
      <c r="E24" t="s">
        <v>3</v>
      </c>
      <c r="F24" t="s">
        <v>7</v>
      </c>
      <c r="G24" s="1">
        <v>8</v>
      </c>
    </row>
    <row r="25" spans="1:14" x14ac:dyDescent="0.25">
      <c r="B25" t="s">
        <v>6</v>
      </c>
      <c r="C25">
        <v>4</v>
      </c>
      <c r="D25" t="s">
        <v>46</v>
      </c>
      <c r="E25" t="s">
        <v>11</v>
      </c>
      <c r="F25" t="s">
        <v>8</v>
      </c>
      <c r="G25" s="1">
        <v>8</v>
      </c>
    </row>
    <row r="26" spans="1:14" x14ac:dyDescent="0.25">
      <c r="A26" t="s">
        <v>58</v>
      </c>
      <c r="G26" s="1">
        <v>80</v>
      </c>
    </row>
    <row r="27" spans="1:14" x14ac:dyDescent="0.25">
      <c r="A27" t="s">
        <v>51</v>
      </c>
      <c r="B27" t="s">
        <v>5</v>
      </c>
      <c r="C27">
        <v>1</v>
      </c>
      <c r="D27" t="s">
        <v>39</v>
      </c>
      <c r="E27" t="s">
        <v>2</v>
      </c>
      <c r="F27" t="s">
        <v>7</v>
      </c>
      <c r="G27" s="1">
        <v>8</v>
      </c>
    </row>
    <row r="28" spans="1:14" x14ac:dyDescent="0.25">
      <c r="B28" t="s">
        <v>5</v>
      </c>
      <c r="C28">
        <v>2</v>
      </c>
      <c r="D28" t="s">
        <v>43</v>
      </c>
      <c r="E28" t="s">
        <v>9</v>
      </c>
      <c r="F28" t="s">
        <v>8</v>
      </c>
      <c r="G28" s="1">
        <v>8</v>
      </c>
    </row>
    <row r="29" spans="1:14" x14ac:dyDescent="0.25">
      <c r="B29" t="s">
        <v>5</v>
      </c>
      <c r="C29">
        <v>3</v>
      </c>
      <c r="D29" t="s">
        <v>45</v>
      </c>
      <c r="E29" t="s">
        <v>10</v>
      </c>
      <c r="F29" t="s">
        <v>8</v>
      </c>
      <c r="G29" s="1">
        <v>8</v>
      </c>
    </row>
    <row r="30" spans="1:14" x14ac:dyDescent="0.25">
      <c r="B30" t="s">
        <v>5</v>
      </c>
      <c r="C30">
        <v>4</v>
      </c>
      <c r="D30" t="s">
        <v>38</v>
      </c>
      <c r="E30" t="s">
        <v>2</v>
      </c>
      <c r="F30" t="s">
        <v>7</v>
      </c>
      <c r="G30" s="1">
        <v>8</v>
      </c>
    </row>
    <row r="31" spans="1:14" x14ac:dyDescent="0.25">
      <c r="B31" t="s">
        <v>5</v>
      </c>
      <c r="C31">
        <v>5</v>
      </c>
      <c r="D31" t="s">
        <v>42</v>
      </c>
      <c r="E31" t="s">
        <v>9</v>
      </c>
      <c r="F31" t="s">
        <v>8</v>
      </c>
      <c r="G31" s="1">
        <v>8</v>
      </c>
    </row>
    <row r="32" spans="1:14" x14ac:dyDescent="0.25">
      <c r="B32" t="s">
        <v>5</v>
      </c>
      <c r="C32">
        <v>6</v>
      </c>
      <c r="D32" t="s">
        <v>44</v>
      </c>
      <c r="E32" t="s">
        <v>10</v>
      </c>
      <c r="F32" t="s">
        <v>8</v>
      </c>
      <c r="G32" s="1">
        <v>8</v>
      </c>
    </row>
    <row r="33" spans="1:7" x14ac:dyDescent="0.25">
      <c r="B33" t="s">
        <v>6</v>
      </c>
      <c r="C33">
        <v>1</v>
      </c>
      <c r="D33" t="s">
        <v>47</v>
      </c>
      <c r="E33" t="s">
        <v>11</v>
      </c>
      <c r="F33" t="s">
        <v>8</v>
      </c>
      <c r="G33" s="1">
        <v>8</v>
      </c>
    </row>
    <row r="34" spans="1:7" x14ac:dyDescent="0.25">
      <c r="B34" t="s">
        <v>6</v>
      </c>
      <c r="C34">
        <v>2</v>
      </c>
      <c r="D34" t="s">
        <v>41</v>
      </c>
      <c r="E34" t="s">
        <v>3</v>
      </c>
      <c r="F34" t="s">
        <v>7</v>
      </c>
      <c r="G34" s="1">
        <v>8</v>
      </c>
    </row>
    <row r="35" spans="1:7" x14ac:dyDescent="0.25">
      <c r="B35" t="s">
        <v>6</v>
      </c>
      <c r="C35">
        <v>3</v>
      </c>
      <c r="D35" t="s">
        <v>40</v>
      </c>
      <c r="E35" t="s">
        <v>3</v>
      </c>
      <c r="F35" t="s">
        <v>7</v>
      </c>
      <c r="G35" s="1">
        <v>8</v>
      </c>
    </row>
    <row r="36" spans="1:7" x14ac:dyDescent="0.25">
      <c r="B36" t="s">
        <v>6</v>
      </c>
      <c r="C36">
        <v>4</v>
      </c>
      <c r="D36" t="s">
        <v>46</v>
      </c>
      <c r="E36" t="s">
        <v>11</v>
      </c>
      <c r="F36" t="s">
        <v>8</v>
      </c>
      <c r="G36" s="1">
        <v>8</v>
      </c>
    </row>
    <row r="37" spans="1:7" x14ac:dyDescent="0.25">
      <c r="A37" t="s">
        <v>59</v>
      </c>
      <c r="G37" s="1">
        <v>80</v>
      </c>
    </row>
  </sheetData>
  <mergeCells count="1">
    <mergeCell ref="P5:P14"/>
  </mergeCells>
  <pageMargins left="0.7" right="0.7" top="0.75" bottom="0.75" header="0.3" footer="0.3"/>
  <pageSetup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0E4BC-397B-4D5B-A040-840DA1FD9D37}">
  <dimension ref="A1:G17"/>
  <sheetViews>
    <sheetView workbookViewId="0">
      <selection activeCell="J9" sqref="J9"/>
    </sheetView>
  </sheetViews>
  <sheetFormatPr defaultRowHeight="15" x14ac:dyDescent="0.25"/>
  <cols>
    <col min="1" max="1" width="10.85546875" style="9" bestFit="1" customWidth="1"/>
    <col min="2" max="2" width="10.42578125" style="8" bestFit="1" customWidth="1"/>
    <col min="3" max="3" width="14.85546875" style="4" bestFit="1" customWidth="1"/>
    <col min="4" max="4" width="10.85546875" style="10" bestFit="1" customWidth="1"/>
    <col min="5" max="5" width="10.85546875" style="8" customWidth="1"/>
    <col min="6" max="6" width="14.85546875" style="4" bestFit="1" customWidth="1"/>
    <col min="7" max="7" width="10.85546875" style="10" bestFit="1" customWidth="1"/>
  </cols>
  <sheetData>
    <row r="1" spans="1:7" x14ac:dyDescent="0.25">
      <c r="A1" s="9" t="s">
        <v>111</v>
      </c>
      <c r="B1" s="8" t="s">
        <v>66</v>
      </c>
      <c r="C1" s="4" t="s">
        <v>64</v>
      </c>
      <c r="D1" s="10" t="s">
        <v>60</v>
      </c>
      <c r="E1" s="8" t="s">
        <v>67</v>
      </c>
      <c r="F1" s="4" t="s">
        <v>65</v>
      </c>
      <c r="G1" s="10" t="s">
        <v>61</v>
      </c>
    </row>
    <row r="2" spans="1:7" x14ac:dyDescent="0.25">
      <c r="A2" s="9" t="s">
        <v>18</v>
      </c>
      <c r="B2" s="8">
        <v>0.34155197351654465</v>
      </c>
      <c r="C2" s="4">
        <f>RANK(B2, $B$2:$B$17)</f>
        <v>12</v>
      </c>
      <c r="D2" s="10" t="str">
        <f>CONCATENATE("B-",TEXT(C2,"00"))</f>
        <v>B-12</v>
      </c>
      <c r="E2" s="8">
        <v>0.97548483229366234</v>
      </c>
      <c r="F2" s="4">
        <f>RANK(E2,$E$2:$E$17)</f>
        <v>1</v>
      </c>
      <c r="G2" s="10" t="str">
        <f>CONCATENATE("C-",TEXT(F2,"00"))</f>
        <v>C-01</v>
      </c>
    </row>
    <row r="3" spans="1:7" x14ac:dyDescent="0.25">
      <c r="A3" s="9" t="s">
        <v>19</v>
      </c>
      <c r="B3" s="8">
        <v>0.51317713743024795</v>
      </c>
      <c r="C3" s="4">
        <f t="shared" ref="C3:C17" si="0">RANK(B3, $B$2:$B$17)</f>
        <v>6</v>
      </c>
      <c r="D3" s="10" t="str">
        <f t="shared" ref="D3:D17" si="1">CONCATENATE("B-",TEXT(C3,"00"))</f>
        <v>B-06</v>
      </c>
      <c r="E3" s="8">
        <v>5.2272110136605043E-2</v>
      </c>
      <c r="F3" s="4">
        <f t="shared" ref="F3:F17" si="2">RANK(E3,$E$2:$E$17)</f>
        <v>16</v>
      </c>
      <c r="G3" s="10" t="str">
        <f t="shared" ref="G3:G17" si="3">CONCATENATE("C-",TEXT(F3,"00"))</f>
        <v>C-16</v>
      </c>
    </row>
    <row r="4" spans="1:7" x14ac:dyDescent="0.25">
      <c r="A4" s="9" t="s">
        <v>20</v>
      </c>
      <c r="B4" s="8">
        <v>0.96966549144428749</v>
      </c>
      <c r="C4" s="4">
        <f t="shared" si="0"/>
        <v>2</v>
      </c>
      <c r="D4" s="10" t="str">
        <f t="shared" si="1"/>
        <v>B-02</v>
      </c>
      <c r="E4" s="8">
        <v>0.7313429444895061</v>
      </c>
      <c r="F4" s="4">
        <f t="shared" si="2"/>
        <v>6</v>
      </c>
      <c r="G4" s="10" t="str">
        <f t="shared" si="3"/>
        <v>C-06</v>
      </c>
    </row>
    <row r="5" spans="1:7" x14ac:dyDescent="0.25">
      <c r="A5" s="9" t="s">
        <v>21</v>
      </c>
      <c r="B5" s="8">
        <v>0.64596530150224618</v>
      </c>
      <c r="C5" s="4">
        <f t="shared" si="0"/>
        <v>5</v>
      </c>
      <c r="D5" s="10" t="str">
        <f t="shared" si="1"/>
        <v>B-05</v>
      </c>
      <c r="E5" s="8">
        <v>0.24278345956280212</v>
      </c>
      <c r="F5" s="4">
        <f t="shared" si="2"/>
        <v>14</v>
      </c>
      <c r="G5" s="10" t="str">
        <f t="shared" si="3"/>
        <v>C-14</v>
      </c>
    </row>
    <row r="6" spans="1:7" x14ac:dyDescent="0.25">
      <c r="A6" s="9" t="s">
        <v>22</v>
      </c>
      <c r="B6" s="8">
        <v>0.85786207302256456</v>
      </c>
      <c r="C6" s="4">
        <f t="shared" si="0"/>
        <v>4</v>
      </c>
      <c r="D6" s="10" t="str">
        <f t="shared" si="1"/>
        <v>B-04</v>
      </c>
      <c r="E6" s="8">
        <v>0.55171482741251165</v>
      </c>
      <c r="F6" s="4">
        <f t="shared" si="2"/>
        <v>9</v>
      </c>
      <c r="G6" s="10" t="str">
        <f t="shared" si="3"/>
        <v>C-09</v>
      </c>
    </row>
    <row r="7" spans="1:7" x14ac:dyDescent="0.25">
      <c r="A7" s="9" t="s">
        <v>23</v>
      </c>
      <c r="B7" s="8">
        <v>0.94976610043075593</v>
      </c>
      <c r="C7" s="4">
        <f t="shared" si="0"/>
        <v>3</v>
      </c>
      <c r="D7" s="10" t="str">
        <f t="shared" si="1"/>
        <v>B-03</v>
      </c>
      <c r="E7" s="8">
        <v>0.18009732460112227</v>
      </c>
      <c r="F7" s="4">
        <f t="shared" si="2"/>
        <v>15</v>
      </c>
      <c r="G7" s="10" t="str">
        <f t="shared" si="3"/>
        <v>C-15</v>
      </c>
    </row>
    <row r="8" spans="1:7" x14ac:dyDescent="0.25">
      <c r="A8" s="9" t="s">
        <v>24</v>
      </c>
      <c r="B8" s="8">
        <v>0.26056002629157593</v>
      </c>
      <c r="C8" s="4">
        <f t="shared" si="0"/>
        <v>13</v>
      </c>
      <c r="D8" s="10" t="str">
        <f t="shared" si="1"/>
        <v>B-13</v>
      </c>
      <c r="E8" s="8">
        <v>0.42640349879994877</v>
      </c>
      <c r="F8" s="4">
        <f t="shared" si="2"/>
        <v>11</v>
      </c>
      <c r="G8" s="10" t="str">
        <f t="shared" si="3"/>
        <v>C-11</v>
      </c>
    </row>
    <row r="9" spans="1:7" x14ac:dyDescent="0.25">
      <c r="A9" s="9" t="s">
        <v>25</v>
      </c>
      <c r="B9" s="8">
        <v>0.35187752378730397</v>
      </c>
      <c r="C9" s="4">
        <f t="shared" si="0"/>
        <v>11</v>
      </c>
      <c r="D9" s="10" t="str">
        <f t="shared" si="1"/>
        <v>B-11</v>
      </c>
      <c r="E9" s="8">
        <v>0.83645919692473836</v>
      </c>
      <c r="F9" s="4">
        <f t="shared" si="2"/>
        <v>5</v>
      </c>
      <c r="G9" s="10" t="str">
        <f t="shared" si="3"/>
        <v>C-05</v>
      </c>
    </row>
    <row r="10" spans="1:7" x14ac:dyDescent="0.25">
      <c r="A10" s="9" t="s">
        <v>26</v>
      </c>
      <c r="B10" s="8">
        <v>0.39337876743126354</v>
      </c>
      <c r="C10" s="4">
        <f t="shared" si="0"/>
        <v>10</v>
      </c>
      <c r="D10" s="10" t="str">
        <f t="shared" si="1"/>
        <v>B-10</v>
      </c>
      <c r="E10" s="8">
        <v>0.53091515324634575</v>
      </c>
      <c r="F10" s="4">
        <f t="shared" si="2"/>
        <v>10</v>
      </c>
      <c r="G10" s="10" t="str">
        <f t="shared" si="3"/>
        <v>C-10</v>
      </c>
    </row>
    <row r="11" spans="1:7" x14ac:dyDescent="0.25">
      <c r="A11" s="9" t="s">
        <v>27</v>
      </c>
      <c r="B11" s="8">
        <v>0.49727629114418215</v>
      </c>
      <c r="C11" s="4">
        <f t="shared" si="0"/>
        <v>7</v>
      </c>
      <c r="D11" s="10" t="str">
        <f t="shared" si="1"/>
        <v>B-07</v>
      </c>
      <c r="E11" s="8">
        <v>0.26071099395407926</v>
      </c>
      <c r="F11" s="4">
        <f t="shared" si="2"/>
        <v>13</v>
      </c>
      <c r="G11" s="10" t="str">
        <f t="shared" si="3"/>
        <v>C-13</v>
      </c>
    </row>
    <row r="12" spans="1:7" x14ac:dyDescent="0.25">
      <c r="A12" s="9" t="s">
        <v>28</v>
      </c>
      <c r="B12" s="8">
        <v>0.10512764845487577</v>
      </c>
      <c r="C12" s="4">
        <f t="shared" si="0"/>
        <v>14</v>
      </c>
      <c r="D12" s="10" t="str">
        <f t="shared" si="1"/>
        <v>B-14</v>
      </c>
      <c r="E12" s="8">
        <v>0.97189844238215917</v>
      </c>
      <c r="F12" s="4">
        <f t="shared" si="2"/>
        <v>2</v>
      </c>
      <c r="G12" s="10" t="str">
        <f t="shared" si="3"/>
        <v>C-02</v>
      </c>
    </row>
    <row r="13" spans="1:7" x14ac:dyDescent="0.25">
      <c r="A13" s="9" t="s">
        <v>29</v>
      </c>
      <c r="B13" s="8">
        <v>0.44399844169009506</v>
      </c>
      <c r="C13" s="4">
        <f t="shared" si="0"/>
        <v>8</v>
      </c>
      <c r="D13" s="10" t="str">
        <f t="shared" si="1"/>
        <v>B-08</v>
      </c>
      <c r="E13" s="8">
        <v>0.26178038095723755</v>
      </c>
      <c r="F13" s="4">
        <f t="shared" si="2"/>
        <v>12</v>
      </c>
      <c r="G13" s="10" t="str">
        <f t="shared" si="3"/>
        <v>C-12</v>
      </c>
    </row>
    <row r="14" spans="1:7" x14ac:dyDescent="0.25">
      <c r="A14" s="9" t="s">
        <v>30</v>
      </c>
      <c r="B14" s="8">
        <v>2.2908939710042375E-2</v>
      </c>
      <c r="C14" s="4">
        <f t="shared" si="0"/>
        <v>16</v>
      </c>
      <c r="D14" s="10" t="str">
        <f t="shared" si="1"/>
        <v>B-16</v>
      </c>
      <c r="E14" s="8">
        <v>0.84079605504498434</v>
      </c>
      <c r="F14" s="4">
        <f t="shared" si="2"/>
        <v>3</v>
      </c>
      <c r="G14" s="10" t="str">
        <f t="shared" si="3"/>
        <v>C-03</v>
      </c>
    </row>
    <row r="15" spans="1:7" x14ac:dyDescent="0.25">
      <c r="A15" s="9" t="s">
        <v>31</v>
      </c>
      <c r="B15" s="8">
        <v>0.42879905087214065</v>
      </c>
      <c r="C15" s="4">
        <f t="shared" si="0"/>
        <v>9</v>
      </c>
      <c r="D15" s="10" t="str">
        <f t="shared" si="1"/>
        <v>B-09</v>
      </c>
      <c r="E15" s="8">
        <v>0.59501883875032047</v>
      </c>
      <c r="F15" s="4">
        <f t="shared" si="2"/>
        <v>8</v>
      </c>
      <c r="G15" s="10" t="str">
        <f t="shared" si="3"/>
        <v>C-08</v>
      </c>
    </row>
    <row r="16" spans="1:7" x14ac:dyDescent="0.25">
      <c r="A16" s="9" t="s">
        <v>32</v>
      </c>
      <c r="B16" s="8">
        <v>3.588371014220948E-2</v>
      </c>
      <c r="C16" s="4">
        <f t="shared" si="0"/>
        <v>15</v>
      </c>
      <c r="D16" s="10" t="str">
        <f t="shared" si="1"/>
        <v>B-15</v>
      </c>
      <c r="E16" s="8">
        <v>0.59916145010218114</v>
      </c>
      <c r="F16" s="4">
        <f t="shared" si="2"/>
        <v>7</v>
      </c>
      <c r="G16" s="10" t="str">
        <f t="shared" si="3"/>
        <v>C-07</v>
      </c>
    </row>
    <row r="17" spans="1:7" x14ac:dyDescent="0.25">
      <c r="A17" s="9" t="s">
        <v>33</v>
      </c>
      <c r="B17" s="8">
        <v>0.97710182661509581</v>
      </c>
      <c r="C17" s="4">
        <f t="shared" si="0"/>
        <v>1</v>
      </c>
      <c r="D17" s="10" t="str">
        <f t="shared" si="1"/>
        <v>B-01</v>
      </c>
      <c r="E17" s="8">
        <v>0.83804612436692705</v>
      </c>
      <c r="F17" s="4">
        <f t="shared" si="2"/>
        <v>4</v>
      </c>
      <c r="G17" s="10" t="str">
        <f t="shared" si="3"/>
        <v>C-04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 me</vt:lpstr>
      <vt:lpstr>reference</vt:lpstr>
      <vt:lpstr>test structure with data</vt:lpstr>
      <vt:lpstr>pivot1 test order</vt:lpstr>
      <vt:lpstr>trial labels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Clifford Long</dc:creator>
  <cp:lastModifiedBy>Clifford Long</cp:lastModifiedBy>
  <cp:lastPrinted>2022-02-04T22:14:38Z</cp:lastPrinted>
  <dcterms:created xsi:type="dcterms:W3CDTF">2015-06-05T18:17:20Z</dcterms:created>
  <dcterms:modified xsi:type="dcterms:W3CDTF">2022-03-11T16:55:16Z</dcterms:modified>
</cp:coreProperties>
</file>